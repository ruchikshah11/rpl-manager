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Ruchik\CSOM\RPL\Templates\"/>
    </mc:Choice>
  </mc:AlternateContent>
  <xr:revisionPtr revIDLastSave="0" documentId="8_{B483CEE1-BE60-43D3-84EC-CAADE1DDE526}" xr6:coauthVersionLast="47" xr6:coauthVersionMax="47" xr10:uidLastSave="{00000000-0000-0000-0000-000000000000}"/>
  <bookViews>
    <workbookView xWindow="-120" yWindow="-120" windowWidth="29040" windowHeight="15720" activeTab="1" xr2:uid="{CE3043D5-AAF5-4ABE-AE11-A402CF5A4163}"/>
  </bookViews>
  <sheets>
    <sheet name="How to Use" sheetId="6" r:id="rId1"/>
    <sheet name="Players" sheetId="1" r:id="rId2"/>
    <sheet name="Accounts" sheetId="2" r:id="rId3"/>
    <sheet name="Matches" sheetId="4" r:id="rId4"/>
    <sheet name="Points Table" sheetId="5" r:id="rId5"/>
    <sheet name="Misc." sheetId="3" r:id="rId6"/>
  </sheets>
  <definedNames>
    <definedName name="Fee">Accounts!$N$2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" i="5" l="1" a="1"/>
  <c r="J3" i="5" a="1"/>
  <c r="A3" i="5" a="1"/>
  <c r="F2" i="4"/>
  <c r="A2" i="4"/>
  <c r="H2" i="2"/>
  <c r="G2" i="2"/>
  <c r="F2" i="2"/>
  <c r="A2" i="1"/>
  <c r="F39" i="2"/>
  <c r="K2" i="2"/>
  <c r="I2" i="2"/>
  <c r="A2" i="2"/>
  <c r="F33" i="2"/>
  <c r="F34" i="2"/>
  <c r="F35" i="2"/>
  <c r="F36" i="2"/>
  <c r="F37" i="2"/>
  <c r="F38" i="2"/>
  <c r="B22" i="2"/>
  <c r="B23" i="2"/>
  <c r="B24" i="2"/>
  <c r="B25" i="2"/>
  <c r="B26" i="2"/>
  <c r="B27" i="2"/>
  <c r="B13" i="2"/>
  <c r="B14" i="2"/>
  <c r="B15" i="2"/>
  <c r="B16" i="2"/>
  <c r="B17" i="2"/>
  <c r="B12" i="2"/>
  <c r="D2" i="2"/>
  <c r="C2" i="2"/>
  <c r="B2" i="2"/>
  <c r="E2" i="2"/>
  <c r="H33" i="2" l="1"/>
  <c r="H39" i="2" s="1"/>
  <c r="F40" i="2"/>
  <c r="J2" i="2"/>
  <c r="L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<sst xmlns="http://schemas.openxmlformats.org/spreadsheetml/2006/main" count="154" uniqueCount="105">
  <si>
    <t>Sr No</t>
  </si>
  <si>
    <t>Name</t>
  </si>
  <si>
    <t xml:space="preserve">Age </t>
  </si>
  <si>
    <t>Block</t>
  </si>
  <si>
    <t>Flat Number</t>
  </si>
  <si>
    <t>Mobile</t>
  </si>
  <si>
    <t>Gender</t>
  </si>
  <si>
    <t>Sponsor</t>
  </si>
  <si>
    <t>Sponsor Amount</t>
  </si>
  <si>
    <t>IsOnline</t>
  </si>
  <si>
    <t>Description</t>
  </si>
  <si>
    <t>Form No</t>
  </si>
  <si>
    <t>Team</t>
  </si>
  <si>
    <t>No</t>
  </si>
  <si>
    <t>Category</t>
  </si>
  <si>
    <t>D</t>
  </si>
  <si>
    <t>Male</t>
  </si>
  <si>
    <t>A</t>
  </si>
  <si>
    <t>Yes</t>
  </si>
  <si>
    <t>F</t>
  </si>
  <si>
    <t>C</t>
  </si>
  <si>
    <t>E</t>
  </si>
  <si>
    <t>B</t>
  </si>
  <si>
    <t>A+</t>
  </si>
  <si>
    <t>Kids</t>
  </si>
  <si>
    <t>Total Players</t>
  </si>
  <si>
    <t>Male  Count</t>
  </si>
  <si>
    <t>Female Count</t>
  </si>
  <si>
    <t>Kid Count</t>
  </si>
  <si>
    <t>Sponsor Count</t>
  </si>
  <si>
    <t>Total Amount (Male)</t>
  </si>
  <si>
    <t>Offline Amount (Without Sponsor)</t>
  </si>
  <si>
    <t>Online Amount</t>
  </si>
  <si>
    <t>Sponosor Amount</t>
  </si>
  <si>
    <t>Total Amount With Sponsor</t>
  </si>
  <si>
    <t>Expense</t>
  </si>
  <si>
    <t>Amount - Expenses</t>
  </si>
  <si>
    <t>Expenses</t>
  </si>
  <si>
    <t>Paid By</t>
  </si>
  <si>
    <t>Amount</t>
  </si>
  <si>
    <t>Payed</t>
  </si>
  <si>
    <t>Block (Male)</t>
  </si>
  <si>
    <t>Count</t>
  </si>
  <si>
    <t>Block (Female)</t>
  </si>
  <si>
    <t xml:space="preserve">Rs </t>
  </si>
  <si>
    <t>Total</t>
  </si>
  <si>
    <t>Inhand Rupees</t>
  </si>
  <si>
    <t>In Hand Cash</t>
  </si>
  <si>
    <t>Total Rs Left</t>
  </si>
  <si>
    <t>Female</t>
  </si>
  <si>
    <t>Cancelled</t>
  </si>
  <si>
    <t>Captain</t>
  </si>
  <si>
    <t>Division</t>
  </si>
  <si>
    <t>Stage</t>
  </si>
  <si>
    <t>League</t>
  </si>
  <si>
    <t>Qualifier 1</t>
  </si>
  <si>
    <t>Eliminator</t>
  </si>
  <si>
    <t>Qualifier 2</t>
  </si>
  <si>
    <t>Final</t>
  </si>
  <si>
    <t>Girls</t>
  </si>
  <si>
    <t>Fee per player</t>
  </si>
  <si>
    <t>Match No</t>
  </si>
  <si>
    <t>Date</t>
  </si>
  <si>
    <t>Time</t>
  </si>
  <si>
    <t>Team A</t>
  </si>
  <si>
    <t>Team B</t>
  </si>
  <si>
    <t>Match</t>
  </si>
  <si>
    <t>Winner</t>
  </si>
  <si>
    <t>Result</t>
  </si>
  <si>
    <t>POM</t>
  </si>
  <si>
    <t>POM Award</t>
  </si>
  <si>
    <t>Award 2 Player</t>
  </si>
  <si>
    <t>Award 2</t>
  </si>
  <si>
    <t>Award 3 Player</t>
  </si>
  <si>
    <t>Award 3</t>
  </si>
  <si>
    <t>Team A Runs</t>
  </si>
  <si>
    <t>Team A Overs</t>
  </si>
  <si>
    <t>Team B Runs</t>
  </si>
  <si>
    <t>Team B Overs</t>
  </si>
  <si>
    <t>Men</t>
  </si>
  <si>
    <t>Played</t>
  </si>
  <si>
    <t>Won</t>
  </si>
  <si>
    <t>Lost</t>
  </si>
  <si>
    <t>No result</t>
  </si>
  <si>
    <t>Points</t>
  </si>
  <si>
    <t>NRR</t>
  </si>
  <si>
    <t>Women</t>
  </si>
  <si>
    <t>RATNADEEP PREMIER LEAGUE — SEASON TEMPLATE</t>
  </si>
  <si>
    <t>One workbook per season. Fill the yellow/blue tables; every total, count and the points table update by themselves.</t>
  </si>
  <si>
    <t>1. SET UP THE SEASON</t>
  </si>
  <si>
    <t>Accounts sheet, cell N2 (yellow): registration fee per player. Every fee total uses this cell, so change it here when the fee changes.</t>
  </si>
  <si>
    <t>Misc. sheet, Teams table: type this season's team names (and captains). The Team dropdowns on Players and Matches use this list.</t>
  </si>
  <si>
    <t>Misc. sheet: Category, Block and Stage lists can be edited the same way.</t>
  </si>
  <si>
    <t>2. PLAYERS</t>
  </si>
  <si>
    <t>Type each registration in the first empty row of the Players table; the table grows and Sr No fills itself.</t>
  </si>
  <si>
    <t>Gender: Male / Female / Kids. A withdrawn form: set Gender to Cancelled (it then drops out of every count and fee total).</t>
  </si>
  <si>
    <t>IsOnline: Yes = fee paid online, No = paid in cash. Only Male players are charged the fee.</t>
  </si>
  <si>
    <t>3. ACCOUNTS</t>
  </si>
  <si>
    <t>Expenses table: one row per expense (Payed Yes/No, Description Cash/Online). Currency table: count the notes in hand.</t>
  </si>
  <si>
    <t>Top table: players, male/female/kid counts, fee collected (offline / online), sponsors, expenses and balance — all automatic.</t>
  </si>
  <si>
    <t>4. MATCHES &amp; POINTS TABLE</t>
  </si>
  <si>
    <t>Matches sheet: one row per match — date, time, teams, stage, division (Men / Women / Kids), winner (or "No result"), awards, and optionally each team's runs and overs (8.3 = 8 overs 3 balls).</t>
  </si>
  <si>
    <t>Points Table sheet: one table per division. League matches with a winner, 2 points per win, 1 for no result; net run rate from the scores. Do not type on that sheet.</t>
  </si>
  <si>
    <t>Teams table (Misc. sheet): give each team its Division so girls' and kids' teams get their own table.</t>
  </si>
  <si>
    <t>Requires Excel for Microsoft 365 or Excel 2024 (the points table uses LET, MAP, LAMBDA, HSTACK and SORTBY).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</si>
</sst>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"/>
    <numFmt numFmtId="165" formatCode="0.0"/>
    <numFmt numFmtId="166" formatCode="dd\ mmm\ yyyy"/>
  </numFmts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rgb="FF6B0F1A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0"/>
      <color rgb="FF6B0F1A"/>
      <name val="Segoe UI"/>
      <family val="2"/>
    </font>
    <font>
      <sz val="11"/>
      <color rgb="FF64748B"/>
      <name val="Segoe UI"/>
      <family val="2"/>
    </font>
    <font>
      <sz val="10"/>
      <color rgb="FF0F172A"/>
      <name val="Segoe UI"/>
      <family val="2"/>
    </font>
    <font>
      <b/>
      <sz val="11"/>
      <color rgb="FFD4A64A"/>
      <name val="Segoe UI"/>
      <family val="2"/>
    </font>
    <font>
      <i/>
      <sz val="9"/>
      <color rgb="FF64748B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2CC"/>
        <bgColor indexed="64"/>
      </patternFill>
    </fill>
    <fill>
      <patternFill patternType="solid">
        <fgColor rgb="FF6B0F1A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2" fillId="2" borderId="1" xfId="0" applyFont="1" applyFill="1" applyBorder="1" applyAlignment="1">
      <alignment horizontal="center"/>
    </xf>
    <xf numFmtId="164" fontId="0" fillId="3" borderId="0" xfId="0" applyNumberFormat="1" applyFill="1"/>
    <xf numFmtId="165" fontId="0" fillId="0" borderId="0" xfId="0" applyNumberFormat="1"/>
    <xf numFmtId="166" fontId="0" fillId="0" borderId="0" xfId="0" applyNumberFormat="1"/>
    <xf numFmtId="0" fontId="3" fillId="0" borderId="0" xfId="0" applyFont="1"/>
    <xf numFmtId="0" fontId="4" fillId="4" borderId="0" xfId="0" applyFont="1" applyFill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0" fillId="4" borderId="0" xfId="0" applyFill="1"/>
  </cellXfs>
  <cellStyles count="1">
    <cellStyle name="Normal" xfId="0" builtinId="0"/>
  </cellStyles>
  <dxfs count="13">
    <dxf>
      <numFmt numFmtId="166" formatCode="dd\ mmm\ yyyy"/>
    </dxf>
    <dxf>
      <numFmt numFmtId="165" formatCode="0.0"/>
    </dxf>
    <dxf>
      <numFmt numFmtId="165" formatCode="0.0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1EDA3-35B0-437E-9C7C-C50A8BE1A0C4}" name="Players" displayName="Players" ref="A1:O2" totalsRowShown="0" headerRowDxfId="5">
  <autoFilter ref="A1:O2" xr:uid="{33E1EDA3-35B0-437E-9C7C-C50A8BE1A0C4}"/>
  <sortState xmlns:xlrd2="http://schemas.microsoft.com/office/spreadsheetml/2017/richdata2" ref="A2:O2">
    <sortCondition ref="N1:N2"/>
  </sortState>
  <tableColumns count="15">
    <tableColumn id="7" xr3:uid="{FF5B529F-7EE6-405A-A8FE-ADE79FE7901C}" name="Sr No">
      <calculatedColumnFormula>ROW()-1</calculatedColumnFormula>
    </tableColumn>
    <tableColumn id="1" xr3:uid="{E58828F4-BF03-44EB-A1E6-03CE7DC81E61}" name="Name"/>
    <tableColumn id="3" xr3:uid="{ACE63ECD-7BAD-4923-A900-01CBD12F8E90}" name="Age "/>
    <tableColumn id="8" xr3:uid="{1D95BE08-3F5B-489D-86B4-46A6F3D9D84A}" name="Block"/>
    <tableColumn id="2" xr3:uid="{133265AE-9FD6-4125-8499-DE356AF2F3FB}" name="Flat Number" dataDxfId="3"/>
    <tableColumn id="5" xr3:uid="{84506162-9F41-4681-B18F-8D20A228F28B}" name="Mobile" dataDxfId="4"/>
    <tableColumn id="4" xr3:uid="{1ABAB17D-F6E7-431C-9D14-DC2AB380C987}" name="Gender"/>
    <tableColumn id="9" xr3:uid="{AD88A6D4-DF16-4529-BC0E-8A2771A92CC9}" name="Sponsor"/>
    <tableColumn id="17" xr3:uid="{A3E8B874-87D9-47D2-8AA6-DC075CD271EE}" name="Sponsor Amount"/>
    <tableColumn id="11" xr3:uid="{727A5647-E5D4-44EC-BD2C-2AC5DD54A228}" name="IsOnline"/>
    <tableColumn id="10" xr3:uid="{C48ADD48-899E-4B3A-9904-E59740AA4AD2}" name="Description"/>
    <tableColumn id="6" xr3:uid="{42CAC125-B75D-413A-B068-DB2257708804}" name="Form No"/>
    <tableColumn id="12" xr3:uid="{1CBB4157-949C-432C-9975-4A83014E8781}" name="Team"/>
    <tableColumn id="13" xr3:uid="{A6EA731C-1E7D-4323-85D4-0662F322006C}" name="No"/>
    <tableColumn id="14" xr3:uid="{BA2B4EDF-1006-46AD-AA58-58A7C33D154C}" name="Category"/>
  </tableColumns>
  <tableStyleInfo name="TableStyleMedium2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461AAB-13D8-4569-8DA6-20D604044436}" name="Table2" displayName="Table2" ref="A1:L2" totalsRowShown="0" headerRowDxfId="12">
  <autoFilter ref="A1:L2" xr:uid="{11461AAB-13D8-4569-8DA6-20D604044436}"/>
  <tableColumns count="12">
    <tableColumn id="1" xr3:uid="{F7BD7826-48B1-4835-B700-4F64726A60EB}" name="Total Players">
      <calculatedColumnFormula>COUNTIFS(Players[Name], "&lt;&gt;", Players[Sponsor], "&lt;&gt;Yes")</calculatedColumnFormula>
    </tableColumn>
    <tableColumn id="3" xr3:uid="{D73F45B9-C639-43CB-9947-60472C23495F}" name="Male  Count">
      <calculatedColumnFormula>COUNTIFS(Players[Gender], "Male", Players[Name], "&lt;&gt;", Players[Sponsor], "")</calculatedColumnFormula>
    </tableColumn>
    <tableColumn id="4" xr3:uid="{640CFBB9-53FB-4787-8360-B7B1F47DAA18}" name="Female Count">
      <calculatedColumnFormula>COUNTIFS(Players[Gender], "Female", Players[Name], "&lt;&gt;", Players[Sponsor], "")</calculatedColumnFormula>
    </tableColumn>
    <tableColumn id="5" xr3:uid="{85DDF242-8978-482E-80DE-2706D7A76F3B}" name="Kid Count">
      <calculatedColumnFormula>COUNTIFS(Players[Gender], "kids", Players[Name], "&lt;&gt;", Players[Sponsor], "")</calculatedColumnFormula>
    </tableColumn>
    <tableColumn id="6" xr3:uid="{4E4DB2B1-21C7-47F5-B801-63016C8BC426}" name="Sponsor Count">
      <calculatedColumnFormula>COUNTIFS(Players[Sponsor], "Yes")</calculatedColumnFormula>
    </tableColumn>
    <tableColumn id="2" xr3:uid="{62FA2A9F-CA4A-451C-BF54-0ED0C6EB699E}" name="Total Amount (Male)">
      <calculatedColumnFormula>COUNTIFS(Players[Gender], "Male", Players[Name], "&lt;&gt;", Players[Sponsor], "") * Fee</calculatedColumnFormula>
    </tableColumn>
    <tableColumn id="11" xr3:uid="{A5A0ED78-5E59-4009-9886-01FC0D589DEB}" name="Offline Amount (Without Sponsor)">
      <calculatedColumnFormula>COUNTIFS(Players[Gender], "Male", Players[Name], "&lt;&gt;", Players[Sponsor], "",Players[IsOnline],"No") * Fee</calculatedColumnFormula>
    </tableColumn>
    <tableColumn id="10" xr3:uid="{E3F6E1C4-DF01-4529-8A22-E7DD70A5EA13}" name="Online Amount">
      <calculatedColumnFormula>COUNTIFS(Players[Gender], "Male", Players[Name], "&lt;&gt;", Players[Sponsor], "",Players[IsOnline],"Yes") * Fee</calculatedColumnFormula>
    </tableColumn>
    <tableColumn id="12" xr3:uid="{6429F10D-F0BE-426F-9DB8-3DBE6A031D5B}" name="Sponosor Amount">
      <calculatedColumnFormula>SUM(Players[Sponsor Amount])</calculatedColumnFormula>
    </tableColumn>
    <tableColumn id="7" xr3:uid="{C7222CCC-F439-4D4E-853B-C961DDEF45F1}" name="Total Amount With Sponsor">
      <calculatedColumnFormula>SUM(Table2[[#This Row],[Offline Amount (Without Sponsor)]],Table2[[#This Row],[Online Amount]],Table2[[#This Row],[Sponosor Amount]])</calculatedColumnFormula>
    </tableColumn>
    <tableColumn id="8" xr3:uid="{2728B4C5-7CC4-4FCD-A8AA-DF190CAF42BD}" name="Expense">
      <calculatedColumnFormula>SUM(Expenses[Amount])</calculatedColumnFormula>
    </tableColumn>
    <tableColumn id="9" xr3:uid="{4068B10A-7F8B-419E-AD6D-39BA7D4F3986}" name="Amount - Expenses">
      <calculatedColumnFormula>SUM(Table2[[#This Row],[Total Amount With Sponsor]],-Table2[[#This Row],[Expense]])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54AF946-A150-47A5-B345-3DCE1384E398}" name="Table6" displayName="Table6" ref="A11:B17" totalsRowShown="0" headerRowDxfId="11">
  <autoFilter ref="A11:B17" xr:uid="{954AF946-A150-47A5-B345-3DCE1384E398}"/>
  <tableColumns count="2">
    <tableColumn id="1" xr3:uid="{A91B2095-C921-4BAE-BA01-6E491F1C2ED9}" name="Block (Male)"/>
    <tableColumn id="2" xr3:uid="{FDA2D388-7FC5-4638-B69D-402E08DA08BD}" name="Count" dataDxfId="10">
      <calculatedColumnFormula>COUNTIFS(Players[Block], A12, Players[Gender], "Male")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44DF52-F7DD-494D-8B41-2B77E17F9BA3}" name="Table68" displayName="Table68" ref="A21:B27" totalsRowShown="0" headerRowDxfId="9">
  <autoFilter ref="A21:B27" xr:uid="{5644DF52-F7DD-494D-8B41-2B77E17F9BA3}"/>
  <tableColumns count="2">
    <tableColumn id="1" xr3:uid="{3C2DAE74-A348-4085-B82F-5641E078FBAE}" name="Block (Female)"/>
    <tableColumn id="2" xr3:uid="{D63E5239-80AC-4AC6-9135-E80123D18738}" name="Count" dataDxfId="8">
      <calculatedColumnFormula>COUNTIFS(Players[Block], A22, Players[Gender], "Female")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5254FC-B6C5-4A95-80D8-6332CDBB9AB5}" name="Expenses" displayName="Expenses" ref="D10:I11" insertRow="1" totalsRowShown="0" headerRowDxfId="7">
  <autoFilter ref="D10:I11" xr:uid="{E35254FC-B6C5-4A95-80D8-6332CDBB9AB5}"/>
  <tableColumns count="6">
    <tableColumn id="1" xr3:uid="{44430692-C0F7-45AB-91E9-4B16CA49FEF6}" name="Expenses"/>
    <tableColumn id="2" xr3:uid="{F99CEBD0-80DA-4306-938E-D51B488514AE}" name="Paid By"/>
    <tableColumn id="3" xr3:uid="{336EDD46-E093-417A-A8E3-A0286FAA451F}" name="Amount"/>
    <tableColumn id="4" xr3:uid="{C74A0142-9A44-5049-9C3C-A26CB4BD971B}" name="Payed"/>
    <tableColumn id="5" xr3:uid="{843378EF-F937-4BF1-87BF-72F4A476ABA2}" name="Sponsor"/>
    <tableColumn id="6" xr3:uid="{44AB97EC-0CA8-4D8D-8616-D6A70E3ECE2E}" name="Descr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955CBE-5DF2-4535-9813-3FF24EB9E4E1}" name="Currency" displayName="Currency" ref="D32:F40" totalsRowShown="0" headerRowDxfId="6">
  <autoFilter ref="D32:F40" xr:uid="{D7955CBE-5DF2-4535-9813-3FF24EB9E4E1}"/>
  <tableColumns count="3">
    <tableColumn id="1" xr3:uid="{E0B6978C-D31B-4E99-A6F0-00B73E1876BF}" name="Rs "/>
    <tableColumn id="2" xr3:uid="{DB6949B1-522A-4788-8BCC-C804276239F0}" name="Count"/>
    <tableColumn id="3" xr3:uid="{98C7167E-2482-4712-A90B-C2BDA64F5298}" name="Tot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5F42310-39FF-4220-8284-24767763B01E}" name="Table9" displayName="Table9" ref="H32:I39" totalsRowShown="0">
  <autoFilter ref="H32:I39" xr:uid="{25F42310-39FF-4220-8284-24767763B01E}"/>
  <tableColumns count="2">
    <tableColumn id="1" xr3:uid="{C1AD96A4-6161-4C28-8951-674E63320E9B}" name="Inhand Rupees"/>
    <tableColumn id="2" xr3:uid="{33418888-0E63-4E87-9DCC-17CED2D01F18}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C019A41-6023-4D26-ADBB-ED16BDFB74C8}" name="Matches" displayName="Matches" ref="A1:T2" totalsRowShown="0">
  <autoFilter ref="A1:T2" xr:uid="{5C019A41-6023-4D26-ADBB-ED16BDFB74C8}"/>
  <tableColumns count="20">
    <tableColumn id="1" xr3:uid="{895C87B8-59F7-4850-814C-C6C1B174EA9B}" name="Match No">
      <calculatedColumnFormula>ROW()-1</calculatedColumnFormula>
    </tableColumn>
    <tableColumn id="2" xr3:uid="{F64AA096-594F-4A49-9172-45667C3A8319}" name="Date" dataDxfId="0"/>
    <tableColumn id="3" xr3:uid="{6A6EDD90-22AE-497A-B1BD-179D91E7CA7A}" name="Time"/>
    <tableColumn id="4" xr3:uid="{DEB1C059-51FF-4BC4-BBB9-348C711A6174}" name="Team A"/>
    <tableColumn id="5" xr3:uid="{7FFEAAC9-58C2-427C-ABD8-78881AE00A16}" name="Team B"/>
    <tableColumn id="6" xr3:uid="{1E61BD32-F521-4A06-8B04-CED9E83749C8}" name="Match">
      <calculatedColumnFormula>IF(AND(Matches[[#This Row],[Team A]]="",Matches[[#This Row],[Team B]]=""),"",Matches[[#This Row],[Team A]]&amp;" vs "&amp;Matches[[#This Row],[Team B]])</calculatedColumnFormula>
    </tableColumn>
    <tableColumn id="7" xr3:uid="{250A7679-7D40-4603-8211-50E6046A4A7E}" name="Stage"/>
    <tableColumn id="8" xr3:uid="{97E4D7EB-39D4-4CDC-A791-ACA112E634E3}" name="Winner"/>
    <tableColumn id="9" xr3:uid="{002EAE52-4C03-41E9-B296-9C705B5959D7}" name="Result"/>
    <tableColumn id="10" xr3:uid="{FCA8DB16-4164-41B9-BF05-81E865E236F0}" name="POM"/>
    <tableColumn id="11" xr3:uid="{E855CE30-94CF-4372-9B0E-68EC3A94F1E4}" name="POM Award"/>
    <tableColumn id="12" xr3:uid="{E98A7E1E-F663-4AFE-B458-BA227D983B72}" name="Award 2 Player"/>
    <tableColumn id="13" xr3:uid="{39212EE3-CC99-4D71-96D3-9B2EE8CC229A}" name="Award 2"/>
    <tableColumn id="14" xr3:uid="{EF741970-74F9-426E-B060-85868D5E3B7B}" name="Award 3 Player"/>
    <tableColumn id="15" xr3:uid="{B8F61D69-B747-4495-A060-A704E29A051E}" name="Award 3"/>
    <tableColumn id="16" xr3:uid="{FD1CDAF6-4812-4EFD-96B5-DB16011462C4}" name="Division"/>
    <tableColumn id="17" xr3:uid="{7120AB6B-FA93-4A8A-A545-D3941F4B562A}" name="Team A Runs"/>
    <tableColumn id="18" xr3:uid="{B7C8F726-F57F-400B-AA2D-6750B616E150}" name="Team A Overs" dataDxfId="2"/>
    <tableColumn id="19" xr3:uid="{2D922A06-EE75-4B4B-82B6-C382A79D2ABE}" name="Team B Runs"/>
    <tableColumn id="20" xr3:uid="{BA24D4C4-58A5-4F30-BE0D-FF152F4FFC57}" name="Team B Overs" dataDxfId="1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0342D8-704F-4C57-B762-747FA9F4FF6B}" name="Gender" displayName="Gender" ref="A1:A5" totalsRowShown="0">
  <autoFilter ref="A1:A5" xr:uid="{4E0342D8-704F-4C57-B762-747FA9F4FF6B}"/>
  <tableColumns count="1">
    <tableColumn id="1" xr3:uid="{7F0EB974-AB5F-4F2E-8A73-D2D70518F886}" name="Gende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1233EB-AD6F-476E-9C55-0F246DC70C82}" name="Sponsor" displayName="Sponsor" ref="A8:A9" totalsRowShown="0">
  <autoFilter ref="A8:A9" xr:uid="{CF1233EB-AD6F-476E-9C55-0F246DC70C82}"/>
  <tableColumns count="1">
    <tableColumn id="1" xr3:uid="{BA1F5A4B-3008-4BD6-B5B0-5A72C22A05FF}" name="Sponsor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85336-B0F3-402E-A6DB-8B5AE2747DFA}" name="Table8" displayName="Table8" ref="A11:A13" totalsRowShown="0">
  <autoFilter ref="A11:A13" xr:uid="{E1485336-B0F3-402E-A6DB-8B5AE2747DFA}"/>
  <tableColumns count="1">
    <tableColumn id="1" xr3:uid="{19A5D2F9-F74D-46AE-A25C-16339C6CBBEA}" name="IsOnlin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B3417E1-D428-4D94-910F-2B2F50EEF97E}" name="Teams" displayName="Teams" ref="C1:E2" totalsRowShown="0">
  <autoFilter ref="C1:E2" xr:uid="{1B3417E1-D428-4D94-910F-2B2F50EEF97E}"/>
  <tableColumns count="3">
    <tableColumn id="1" xr3:uid="{270CCB72-90F3-4EE6-8811-E051C16A48E0}" name="Team"/>
    <tableColumn id="2" xr3:uid="{8E098666-A0A9-4DB4-AAAE-55FE55E7957E}" name="Captain"/>
    <tableColumn id="3" xr3:uid="{8D75EA7A-2A02-4DC8-883B-EDFACD7FA67F}" name="Divis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F78663B-5547-409C-8E18-F240BF3A8742}" name="Category" displayName="Category" ref="G1:G7" totalsRowShown="0">
  <autoFilter ref="G1:G7" xr:uid="{BF78663B-5547-409C-8E18-F240BF3A8742}"/>
  <tableColumns count="1">
    <tableColumn id="1" xr3:uid="{20AD5DD2-69D6-4C40-9C4D-7840D2A16DCB}" name="Category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838ABF-31A8-4A9B-BC3B-63E2478BC039}" name="Blocks" displayName="Blocks" ref="I1:I7" totalsRowShown="0">
  <autoFilter ref="I1:I7" xr:uid="{52838ABF-31A8-4A9B-BC3B-63E2478BC039}"/>
  <tableColumns count="1">
    <tableColumn id="1" xr3:uid="{8ACAD5A4-8A83-4EC8-B10F-1A4EAD953776}" name="Block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44667DD-6366-4760-A524-884C82C3C1C9}" name="Stages" displayName="Stages" ref="K1:K8" totalsRowShown="0">
  <autoFilter ref="K1:K8" xr:uid="{044667DD-6366-4760-A524-884C82C3C1C9}"/>
  <tableColumns count="1">
    <tableColumn id="1" xr3:uid="{4FB29572-F8DA-49B5-9558-80EA5482148D}" name="S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340B7-5CE5-4613-B0F9-0E9257B84F37}">
  <sheetPr>
    <tabColor rgb="FF6B0F1A"/>
  </sheetPr>
  <dimension ref="A1:B25"/>
  <sheetViews>
    <sheetView showGridLines="0" workbookViewId="0"/>
  </sheetViews>
  <sheetFormatPr defaultRowHeight="15" x14ac:dyDescent="0.25"/>
  <cols>
    <col min="1" max="1" width="3.7109375" customWidth="1"/>
    <col min="2" max="2" width="140.7109375" customWidth="1"/>
  </cols>
  <sheetData>
    <row r="1" spans="1:2" ht="9.9499999999999993" customHeight="1" x14ac:dyDescent="0.25">
      <c r="A1" s="15"/>
      <c r="B1" s="15"/>
    </row>
    <row r="3" spans="1:2" ht="30.75" x14ac:dyDescent="0.55000000000000004">
      <c r="B3" s="10" t="s">
        <v>87</v>
      </c>
    </row>
    <row r="4" spans="1:2" ht="16.5" x14ac:dyDescent="0.3">
      <c r="B4" s="11" t="s">
        <v>88</v>
      </c>
    </row>
    <row r="5" spans="1:2" x14ac:dyDescent="0.25">
      <c r="B5" s="12"/>
    </row>
    <row r="6" spans="1:2" ht="16.5" x14ac:dyDescent="0.3">
      <c r="B6" s="13" t="s">
        <v>89</v>
      </c>
    </row>
    <row r="7" spans="1:2" x14ac:dyDescent="0.25">
      <c r="B7" s="12" t="s">
        <v>90</v>
      </c>
    </row>
    <row r="8" spans="1:2" x14ac:dyDescent="0.25">
      <c r="B8" s="12" t="s">
        <v>91</v>
      </c>
    </row>
    <row r="9" spans="1:2" x14ac:dyDescent="0.25">
      <c r="B9" s="12" t="s">
        <v>92</v>
      </c>
    </row>
    <row r="10" spans="1:2" x14ac:dyDescent="0.25">
      <c r="B10" s="12"/>
    </row>
    <row r="11" spans="1:2" ht="16.5" x14ac:dyDescent="0.3">
      <c r="B11" s="13" t="s">
        <v>93</v>
      </c>
    </row>
    <row r="12" spans="1:2" x14ac:dyDescent="0.25">
      <c r="B12" s="12" t="s">
        <v>94</v>
      </c>
    </row>
    <row r="13" spans="1:2" x14ac:dyDescent="0.25">
      <c r="B13" s="12" t="s">
        <v>95</v>
      </c>
    </row>
    <row r="14" spans="1:2" x14ac:dyDescent="0.25">
      <c r="B14" s="12" t="s">
        <v>96</v>
      </c>
    </row>
    <row r="15" spans="1:2" x14ac:dyDescent="0.25">
      <c r="B15" s="12"/>
    </row>
    <row r="16" spans="1:2" ht="16.5" x14ac:dyDescent="0.3">
      <c r="B16" s="13" t="s">
        <v>97</v>
      </c>
    </row>
    <row r="17" spans="2:2" x14ac:dyDescent="0.25">
      <c r="B17" s="12" t="s">
        <v>98</v>
      </c>
    </row>
    <row r="18" spans="2:2" x14ac:dyDescent="0.25">
      <c r="B18" s="12" t="s">
        <v>99</v>
      </c>
    </row>
    <row r="19" spans="2:2" x14ac:dyDescent="0.25">
      <c r="B19" s="12"/>
    </row>
    <row r="20" spans="2:2" ht="16.5" x14ac:dyDescent="0.3">
      <c r="B20" s="13" t="s">
        <v>100</v>
      </c>
    </row>
    <row r="21" spans="2:2" x14ac:dyDescent="0.25">
      <c r="B21" s="12" t="s">
        <v>101</v>
      </c>
    </row>
    <row r="22" spans="2:2" x14ac:dyDescent="0.25">
      <c r="B22" s="12" t="s">
        <v>102</v>
      </c>
    </row>
    <row r="23" spans="2:2" x14ac:dyDescent="0.25">
      <c r="B23" s="12" t="s">
        <v>103</v>
      </c>
    </row>
    <row r="24" spans="2:2" x14ac:dyDescent="0.25">
      <c r="B24" s="12"/>
    </row>
    <row r="25" spans="2:2" x14ac:dyDescent="0.25">
      <c r="B25" s="14" t="s">
        <v>104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6590B-2815-4ED3-BD4D-AEB7947E8924}">
  <dimension ref="A1:O1000"/>
  <sheetViews>
    <sheetView tabSelected="1" zoomScale="124" zoomScaleNormal="70" workbookViewId="0">
      <selection activeCell="B2" sqref="B2"/>
    </sheetView>
  </sheetViews>
  <sheetFormatPr defaultRowHeight="15" x14ac:dyDescent="0.25"/>
  <cols>
    <col min="1" max="1" width="12.42578125" customWidth="1"/>
    <col min="2" max="2" width="30" bestFit="1" customWidth="1"/>
    <col min="3" max="3" width="19.5703125" customWidth="1"/>
    <col min="4" max="4" width="24.85546875" customWidth="1"/>
    <col min="5" max="5" width="21.7109375" bestFit="1" customWidth="1"/>
    <col min="6" max="6" width="20.5703125" customWidth="1"/>
    <col min="7" max="7" width="16.7109375" customWidth="1"/>
    <col min="8" max="8" width="15.85546875" customWidth="1"/>
    <col min="9" max="9" width="23.7109375" bestFit="1" customWidth="1"/>
    <col min="10" max="10" width="45.28515625" customWidth="1"/>
    <col min="11" max="11" width="41.42578125" bestFit="1" customWidth="1"/>
    <col min="12" max="12" width="25.42578125" customWidth="1"/>
    <col min="13" max="13" width="14.42578125" bestFit="1" customWidth="1"/>
    <col min="15" max="15" width="21.85546875" customWidth="1"/>
  </cols>
  <sheetData>
    <row r="1" spans="1:15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25">
      <c r="A2">
        <f>ROW()-1</f>
        <v>1</v>
      </c>
      <c r="E2" s="3"/>
      <c r="F2" s="3"/>
    </row>
    <row r="3" spans="1:15" x14ac:dyDescent="0.25">
      <c r="E3" s="3"/>
      <c r="F3" s="3"/>
    </row>
    <row r="4" spans="1:15" x14ac:dyDescent="0.25">
      <c r="E4" s="3"/>
      <c r="F4" s="3"/>
    </row>
    <row r="5" spans="1:15" x14ac:dyDescent="0.25">
      <c r="E5" s="3"/>
      <c r="F5" s="3"/>
    </row>
    <row r="6" spans="1:15" x14ac:dyDescent="0.25">
      <c r="E6" s="3"/>
      <c r="F6" s="3"/>
    </row>
    <row r="7" spans="1:15" x14ac:dyDescent="0.25">
      <c r="E7" s="3"/>
      <c r="F7" s="3"/>
    </row>
    <row r="8" spans="1:15" x14ac:dyDescent="0.25">
      <c r="E8" s="3"/>
      <c r="F8" s="3"/>
    </row>
    <row r="9" spans="1:15" x14ac:dyDescent="0.25">
      <c r="E9" s="3"/>
      <c r="F9" s="3"/>
    </row>
    <row r="10" spans="1:15" x14ac:dyDescent="0.25">
      <c r="E10" s="3"/>
      <c r="F10" s="3"/>
    </row>
    <row r="11" spans="1:15" x14ac:dyDescent="0.25">
      <c r="E11" s="3"/>
      <c r="F11" s="3"/>
    </row>
    <row r="12" spans="1:15" x14ac:dyDescent="0.25">
      <c r="E12" s="3"/>
      <c r="F12" s="3"/>
    </row>
    <row r="13" spans="1:15" x14ac:dyDescent="0.25">
      <c r="E13" s="3"/>
      <c r="F13" s="3"/>
    </row>
    <row r="14" spans="1:15" x14ac:dyDescent="0.25">
      <c r="E14" s="3"/>
      <c r="F14" s="3"/>
    </row>
    <row r="15" spans="1:15" x14ac:dyDescent="0.25">
      <c r="E15" s="3"/>
      <c r="F15" s="3"/>
    </row>
    <row r="16" spans="1:15" x14ac:dyDescent="0.25">
      <c r="E16" s="3"/>
      <c r="F16" s="3"/>
    </row>
    <row r="17" spans="5:6" x14ac:dyDescent="0.25">
      <c r="E17" s="3"/>
      <c r="F17" s="3"/>
    </row>
    <row r="18" spans="5:6" x14ac:dyDescent="0.25">
      <c r="E18" s="3"/>
      <c r="F18" s="3"/>
    </row>
    <row r="19" spans="5:6" x14ac:dyDescent="0.25">
      <c r="E19" s="3"/>
      <c r="F19" s="3"/>
    </row>
    <row r="20" spans="5:6" x14ac:dyDescent="0.25">
      <c r="E20" s="3"/>
      <c r="F20" s="3"/>
    </row>
    <row r="21" spans="5:6" x14ac:dyDescent="0.25">
      <c r="E21" s="3"/>
      <c r="F21" s="3"/>
    </row>
    <row r="22" spans="5:6" x14ac:dyDescent="0.25">
      <c r="E22" s="3"/>
      <c r="F22" s="3"/>
    </row>
    <row r="23" spans="5:6" x14ac:dyDescent="0.25">
      <c r="E23" s="3"/>
      <c r="F23" s="3"/>
    </row>
    <row r="24" spans="5:6" x14ac:dyDescent="0.25">
      <c r="E24" s="3"/>
      <c r="F24" s="3"/>
    </row>
    <row r="25" spans="5:6" x14ac:dyDescent="0.25">
      <c r="E25" s="3"/>
      <c r="F25" s="3"/>
    </row>
    <row r="26" spans="5:6" x14ac:dyDescent="0.25">
      <c r="E26" s="3"/>
      <c r="F26" s="3"/>
    </row>
    <row r="27" spans="5:6" x14ac:dyDescent="0.25">
      <c r="E27" s="3"/>
      <c r="F27" s="3"/>
    </row>
    <row r="28" spans="5:6" x14ac:dyDescent="0.25">
      <c r="E28" s="3"/>
      <c r="F28" s="3"/>
    </row>
    <row r="29" spans="5:6" x14ac:dyDescent="0.25">
      <c r="E29" s="3"/>
      <c r="F29" s="3"/>
    </row>
    <row r="30" spans="5:6" x14ac:dyDescent="0.25">
      <c r="E30" s="3"/>
      <c r="F30" s="3"/>
    </row>
    <row r="31" spans="5:6" x14ac:dyDescent="0.25">
      <c r="E31" s="3"/>
      <c r="F31" s="3"/>
    </row>
    <row r="32" spans="5:6" x14ac:dyDescent="0.25">
      <c r="E32" s="3"/>
      <c r="F32" s="3"/>
    </row>
    <row r="33" spans="5:6" x14ac:dyDescent="0.25">
      <c r="E33" s="3"/>
      <c r="F33" s="3"/>
    </row>
    <row r="34" spans="5:6" x14ac:dyDescent="0.25">
      <c r="E34" s="3"/>
      <c r="F34" s="3"/>
    </row>
    <row r="35" spans="5:6" x14ac:dyDescent="0.25">
      <c r="E35" s="3"/>
      <c r="F35" s="3"/>
    </row>
    <row r="36" spans="5:6" x14ac:dyDescent="0.25">
      <c r="E36" s="3"/>
      <c r="F36" s="3"/>
    </row>
    <row r="37" spans="5:6" x14ac:dyDescent="0.25">
      <c r="E37" s="3"/>
      <c r="F37" s="3"/>
    </row>
    <row r="38" spans="5:6" x14ac:dyDescent="0.25">
      <c r="E38" s="3"/>
      <c r="F38" s="3"/>
    </row>
    <row r="39" spans="5:6" x14ac:dyDescent="0.25">
      <c r="E39" s="3"/>
      <c r="F39" s="3"/>
    </row>
    <row r="40" spans="5:6" x14ac:dyDescent="0.25">
      <c r="E40" s="3"/>
      <c r="F40" s="3"/>
    </row>
    <row r="41" spans="5:6" x14ac:dyDescent="0.25">
      <c r="E41" s="3"/>
      <c r="F41" s="3"/>
    </row>
    <row r="42" spans="5:6" x14ac:dyDescent="0.25">
      <c r="E42" s="3"/>
      <c r="F42" s="3"/>
    </row>
    <row r="43" spans="5:6" x14ac:dyDescent="0.25">
      <c r="E43" s="3"/>
      <c r="F43" s="3"/>
    </row>
    <row r="44" spans="5:6" x14ac:dyDescent="0.25">
      <c r="E44" s="3"/>
      <c r="F44" s="3"/>
    </row>
    <row r="45" spans="5:6" x14ac:dyDescent="0.25">
      <c r="E45" s="3"/>
      <c r="F45" s="3"/>
    </row>
    <row r="46" spans="5:6" x14ac:dyDescent="0.25">
      <c r="E46" s="3"/>
      <c r="F46" s="3"/>
    </row>
    <row r="47" spans="5:6" x14ac:dyDescent="0.25">
      <c r="E47" s="3"/>
      <c r="F47" s="3"/>
    </row>
    <row r="48" spans="5:6" x14ac:dyDescent="0.25">
      <c r="E48" s="3"/>
      <c r="F48" s="3"/>
    </row>
    <row r="49" spans="5:6" x14ac:dyDescent="0.25">
      <c r="E49" s="3"/>
      <c r="F49" s="3"/>
    </row>
    <row r="50" spans="5:6" x14ac:dyDescent="0.25">
      <c r="E50" s="3"/>
      <c r="F50" s="3"/>
    </row>
    <row r="51" spans="5:6" x14ac:dyDescent="0.25">
      <c r="E51" s="3"/>
      <c r="F51" s="3"/>
    </row>
    <row r="52" spans="5:6" x14ac:dyDescent="0.25">
      <c r="E52" s="3"/>
      <c r="F52" s="3"/>
    </row>
    <row r="53" spans="5:6" x14ac:dyDescent="0.25">
      <c r="E53" s="3"/>
      <c r="F53" s="3"/>
    </row>
    <row r="54" spans="5:6" x14ac:dyDescent="0.25">
      <c r="E54" s="3"/>
      <c r="F54" s="3"/>
    </row>
    <row r="55" spans="5:6" x14ac:dyDescent="0.25">
      <c r="E55" s="3"/>
      <c r="F55" s="3"/>
    </row>
    <row r="56" spans="5:6" x14ac:dyDescent="0.25">
      <c r="E56" s="3"/>
      <c r="F56" s="3"/>
    </row>
    <row r="57" spans="5:6" x14ac:dyDescent="0.25">
      <c r="E57" s="3"/>
      <c r="F57" s="3"/>
    </row>
    <row r="58" spans="5:6" x14ac:dyDescent="0.25">
      <c r="E58" s="3"/>
      <c r="F58" s="3"/>
    </row>
    <row r="59" spans="5:6" x14ac:dyDescent="0.25">
      <c r="E59" s="3"/>
      <c r="F59" s="3"/>
    </row>
    <row r="60" spans="5:6" x14ac:dyDescent="0.25">
      <c r="E60" s="3"/>
      <c r="F60" s="3"/>
    </row>
    <row r="61" spans="5:6" x14ac:dyDescent="0.25">
      <c r="E61" s="3"/>
      <c r="F61" s="3"/>
    </row>
    <row r="62" spans="5:6" x14ac:dyDescent="0.25">
      <c r="E62" s="3"/>
      <c r="F62" s="3"/>
    </row>
    <row r="63" spans="5:6" x14ac:dyDescent="0.25">
      <c r="E63" s="3"/>
      <c r="F63" s="3"/>
    </row>
    <row r="64" spans="5:6" x14ac:dyDescent="0.25">
      <c r="E64" s="3"/>
      <c r="F64" s="3"/>
    </row>
    <row r="65" spans="5:6" x14ac:dyDescent="0.25">
      <c r="E65" s="3"/>
      <c r="F65" s="3"/>
    </row>
    <row r="66" spans="5:6" x14ac:dyDescent="0.25">
      <c r="E66" s="3"/>
      <c r="F66" s="3"/>
    </row>
    <row r="67" spans="5:6" x14ac:dyDescent="0.25">
      <c r="E67" s="3"/>
      <c r="F67" s="3"/>
    </row>
    <row r="68" spans="5:6" x14ac:dyDescent="0.25">
      <c r="E68" s="3"/>
      <c r="F68" s="3"/>
    </row>
    <row r="69" spans="5:6" x14ac:dyDescent="0.25">
      <c r="E69" s="3"/>
      <c r="F69" s="3"/>
    </row>
    <row r="70" spans="5:6" x14ac:dyDescent="0.25">
      <c r="E70" s="3"/>
      <c r="F70" s="3"/>
    </row>
    <row r="71" spans="5:6" x14ac:dyDescent="0.25">
      <c r="E71" s="3"/>
      <c r="F71" s="3"/>
    </row>
    <row r="72" spans="5:6" x14ac:dyDescent="0.25">
      <c r="E72" s="3"/>
      <c r="F72" s="3"/>
    </row>
    <row r="73" spans="5:6" x14ac:dyDescent="0.25">
      <c r="E73" s="3"/>
      <c r="F73" s="3"/>
    </row>
    <row r="74" spans="5:6" x14ac:dyDescent="0.25">
      <c r="E74" s="3"/>
      <c r="F74" s="3"/>
    </row>
    <row r="75" spans="5:6" x14ac:dyDescent="0.25">
      <c r="E75" s="3"/>
      <c r="F75" s="3"/>
    </row>
    <row r="76" spans="5:6" x14ac:dyDescent="0.25">
      <c r="E76" s="3"/>
      <c r="F76" s="3"/>
    </row>
    <row r="77" spans="5:6" x14ac:dyDescent="0.25">
      <c r="E77" s="3"/>
      <c r="F77" s="3"/>
    </row>
    <row r="78" spans="5:6" x14ac:dyDescent="0.25">
      <c r="E78" s="3"/>
      <c r="F78" s="3"/>
    </row>
    <row r="79" spans="5:6" x14ac:dyDescent="0.25">
      <c r="E79" s="3"/>
      <c r="F79" s="3"/>
    </row>
    <row r="80" spans="5:6" x14ac:dyDescent="0.25">
      <c r="E80" s="3"/>
      <c r="F80" s="3"/>
    </row>
    <row r="81" spans="5:6" x14ac:dyDescent="0.25">
      <c r="E81" s="3"/>
      <c r="F81" s="3"/>
    </row>
    <row r="82" spans="5:6" x14ac:dyDescent="0.25">
      <c r="E82" s="3"/>
      <c r="F82" s="3"/>
    </row>
    <row r="83" spans="5:6" x14ac:dyDescent="0.25">
      <c r="E83" s="3"/>
      <c r="F83" s="3"/>
    </row>
    <row r="84" spans="5:6" x14ac:dyDescent="0.25">
      <c r="E84" s="3"/>
      <c r="F84" s="3"/>
    </row>
    <row r="85" spans="5:6" x14ac:dyDescent="0.25">
      <c r="E85" s="3"/>
      <c r="F85" s="3"/>
    </row>
    <row r="86" spans="5:6" x14ac:dyDescent="0.25">
      <c r="E86" s="3"/>
      <c r="F86" s="3"/>
    </row>
    <row r="87" spans="5:6" x14ac:dyDescent="0.25">
      <c r="E87" s="3"/>
      <c r="F87" s="3"/>
    </row>
    <row r="88" spans="5:6" x14ac:dyDescent="0.25">
      <c r="E88" s="3"/>
      <c r="F88" s="3"/>
    </row>
    <row r="89" spans="5:6" x14ac:dyDescent="0.25">
      <c r="E89" s="3"/>
      <c r="F89" s="3"/>
    </row>
    <row r="90" spans="5:6" x14ac:dyDescent="0.25">
      <c r="E90" s="3"/>
      <c r="F90" s="3"/>
    </row>
    <row r="91" spans="5:6" x14ac:dyDescent="0.25">
      <c r="E91" s="3"/>
      <c r="F91" s="3"/>
    </row>
    <row r="92" spans="5:6" x14ac:dyDescent="0.25">
      <c r="E92" s="3"/>
      <c r="F92" s="3"/>
    </row>
    <row r="93" spans="5:6" x14ac:dyDescent="0.25">
      <c r="E93" s="3"/>
      <c r="F93" s="3"/>
    </row>
    <row r="94" spans="5:6" x14ac:dyDescent="0.25">
      <c r="E94" s="3"/>
      <c r="F94" s="3"/>
    </row>
    <row r="95" spans="5:6" x14ac:dyDescent="0.25">
      <c r="E95" s="3"/>
      <c r="F95" s="3"/>
    </row>
    <row r="96" spans="5:6" x14ac:dyDescent="0.25">
      <c r="E96" s="3"/>
      <c r="F96" s="3"/>
    </row>
    <row r="97" spans="5:6" x14ac:dyDescent="0.25">
      <c r="E97" s="3"/>
      <c r="F97" s="3"/>
    </row>
    <row r="98" spans="5:6" x14ac:dyDescent="0.25">
      <c r="E98" s="3"/>
      <c r="F98" s="3"/>
    </row>
    <row r="99" spans="5:6" x14ac:dyDescent="0.25">
      <c r="E99" s="3"/>
      <c r="F99" s="3"/>
    </row>
    <row r="100" spans="5:6" x14ac:dyDescent="0.25">
      <c r="E100" s="3"/>
      <c r="F100" s="3"/>
    </row>
    <row r="101" spans="5:6" x14ac:dyDescent="0.25">
      <c r="E101" s="3"/>
      <c r="F101" s="3"/>
    </row>
    <row r="102" spans="5:6" x14ac:dyDescent="0.25">
      <c r="E102" s="3"/>
      <c r="F102" s="3"/>
    </row>
    <row r="103" spans="5:6" x14ac:dyDescent="0.25">
      <c r="E103" s="3"/>
      <c r="F103" s="3"/>
    </row>
    <row r="104" spans="5:6" x14ac:dyDescent="0.25">
      <c r="E104" s="3"/>
      <c r="F104" s="3"/>
    </row>
    <row r="105" spans="5:6" x14ac:dyDescent="0.25">
      <c r="E105" s="3"/>
      <c r="F105" s="3"/>
    </row>
    <row r="106" spans="5:6" x14ac:dyDescent="0.25">
      <c r="E106" s="3"/>
      <c r="F106" s="3"/>
    </row>
    <row r="107" spans="5:6" x14ac:dyDescent="0.25">
      <c r="E107" s="3"/>
      <c r="F107" s="3"/>
    </row>
    <row r="108" spans="5:6" x14ac:dyDescent="0.25">
      <c r="E108" s="3"/>
      <c r="F108" s="3"/>
    </row>
    <row r="109" spans="5:6" x14ac:dyDescent="0.25">
      <c r="E109" s="3"/>
      <c r="F109" s="3"/>
    </row>
    <row r="110" spans="5:6" x14ac:dyDescent="0.25">
      <c r="E110" s="3"/>
      <c r="F110" s="3"/>
    </row>
    <row r="111" spans="5:6" x14ac:dyDescent="0.25">
      <c r="E111" s="3"/>
      <c r="F111" s="3"/>
    </row>
    <row r="112" spans="5:6" x14ac:dyDescent="0.25">
      <c r="E112" s="3"/>
      <c r="F112" s="3"/>
    </row>
    <row r="113" spans="5:6" x14ac:dyDescent="0.25">
      <c r="E113" s="3"/>
      <c r="F113" s="3"/>
    </row>
    <row r="114" spans="5:6" x14ac:dyDescent="0.25">
      <c r="E114" s="3"/>
      <c r="F114" s="3"/>
    </row>
    <row r="115" spans="5:6" x14ac:dyDescent="0.25">
      <c r="E115" s="3"/>
      <c r="F115" s="3"/>
    </row>
    <row r="116" spans="5:6" x14ac:dyDescent="0.25">
      <c r="E116" s="3"/>
      <c r="F116" s="3"/>
    </row>
    <row r="117" spans="5:6" x14ac:dyDescent="0.25">
      <c r="E117" s="3"/>
      <c r="F117" s="3"/>
    </row>
    <row r="118" spans="5:6" x14ac:dyDescent="0.25">
      <c r="E118" s="3"/>
      <c r="F118" s="3"/>
    </row>
    <row r="119" spans="5:6" x14ac:dyDescent="0.25">
      <c r="E119" s="3"/>
      <c r="F119" s="3"/>
    </row>
    <row r="120" spans="5:6" x14ac:dyDescent="0.25">
      <c r="E120" s="3"/>
      <c r="F120" s="3"/>
    </row>
    <row r="121" spans="5:6" x14ac:dyDescent="0.25">
      <c r="E121" s="3"/>
      <c r="F121" s="3"/>
    </row>
    <row r="122" spans="5:6" x14ac:dyDescent="0.25">
      <c r="E122" s="3"/>
      <c r="F122" s="3"/>
    </row>
    <row r="123" spans="5:6" x14ac:dyDescent="0.25">
      <c r="E123" s="3"/>
      <c r="F123" s="3"/>
    </row>
    <row r="124" spans="5:6" x14ac:dyDescent="0.25">
      <c r="E124" s="3"/>
      <c r="F124" s="3"/>
    </row>
    <row r="125" spans="5:6" x14ac:dyDescent="0.25">
      <c r="E125" s="3"/>
      <c r="F125" s="3"/>
    </row>
    <row r="126" spans="5:6" x14ac:dyDescent="0.25">
      <c r="E126" s="3"/>
      <c r="F126" s="3"/>
    </row>
    <row r="127" spans="5:6" x14ac:dyDescent="0.25">
      <c r="E127" s="3"/>
      <c r="F127" s="3"/>
    </row>
    <row r="128" spans="5:6" x14ac:dyDescent="0.25">
      <c r="E128" s="3"/>
      <c r="F128" s="3"/>
    </row>
    <row r="129" spans="5:6" x14ac:dyDescent="0.25">
      <c r="E129" s="3"/>
      <c r="F129" s="3"/>
    </row>
    <row r="130" spans="5:6" x14ac:dyDescent="0.25">
      <c r="E130" s="3"/>
      <c r="F130" s="3"/>
    </row>
    <row r="131" spans="5:6" x14ac:dyDescent="0.25">
      <c r="E131" s="3"/>
      <c r="F131" s="3"/>
    </row>
    <row r="132" spans="5:6" x14ac:dyDescent="0.25">
      <c r="E132" s="3"/>
      <c r="F132" s="3"/>
    </row>
    <row r="133" spans="5:6" x14ac:dyDescent="0.25">
      <c r="E133" s="3"/>
      <c r="F133" s="3"/>
    </row>
    <row r="134" spans="5:6" x14ac:dyDescent="0.25">
      <c r="E134" s="3"/>
      <c r="F134" s="3"/>
    </row>
    <row r="135" spans="5:6" x14ac:dyDescent="0.25">
      <c r="E135" s="3"/>
      <c r="F135" s="3"/>
    </row>
    <row r="136" spans="5:6" x14ac:dyDescent="0.25">
      <c r="E136" s="3"/>
      <c r="F136" s="3"/>
    </row>
    <row r="137" spans="5:6" x14ac:dyDescent="0.25">
      <c r="E137" s="3"/>
      <c r="F137" s="3"/>
    </row>
    <row r="138" spans="5:6" x14ac:dyDescent="0.25">
      <c r="E138" s="3"/>
      <c r="F138" s="3"/>
    </row>
    <row r="139" spans="5:6" x14ac:dyDescent="0.25">
      <c r="E139" s="3"/>
      <c r="F139" s="3"/>
    </row>
    <row r="140" spans="5:6" x14ac:dyDescent="0.25">
      <c r="E140" s="3"/>
      <c r="F140" s="3"/>
    </row>
    <row r="141" spans="5:6" x14ac:dyDescent="0.25">
      <c r="E141" s="3"/>
      <c r="F141" s="3"/>
    </row>
    <row r="142" spans="5:6" x14ac:dyDescent="0.25">
      <c r="E142" s="3"/>
      <c r="F142" s="3"/>
    </row>
    <row r="143" spans="5:6" x14ac:dyDescent="0.25">
      <c r="E143" s="3"/>
      <c r="F143" s="3"/>
    </row>
    <row r="144" spans="5:6" x14ac:dyDescent="0.25">
      <c r="E144" s="3"/>
      <c r="F144" s="3"/>
    </row>
    <row r="145" spans="5:6" x14ac:dyDescent="0.25">
      <c r="E145" s="3"/>
      <c r="F145" s="3"/>
    </row>
    <row r="146" spans="5:6" x14ac:dyDescent="0.25">
      <c r="E146" s="3"/>
      <c r="F146" s="3"/>
    </row>
    <row r="147" spans="5:6" x14ac:dyDescent="0.25">
      <c r="E147" s="3"/>
      <c r="F147" s="3"/>
    </row>
    <row r="148" spans="5:6" x14ac:dyDescent="0.25">
      <c r="E148" s="3"/>
      <c r="F148" s="3"/>
    </row>
    <row r="149" spans="5:6" x14ac:dyDescent="0.25">
      <c r="E149" s="3"/>
      <c r="F149" s="3"/>
    </row>
    <row r="150" spans="5:6" x14ac:dyDescent="0.25">
      <c r="E150" s="3"/>
      <c r="F150" s="3"/>
    </row>
    <row r="151" spans="5:6" x14ac:dyDescent="0.25">
      <c r="E151" s="3"/>
      <c r="F151" s="3"/>
    </row>
    <row r="152" spans="5:6" x14ac:dyDescent="0.25">
      <c r="E152" s="3"/>
      <c r="F152" s="3"/>
    </row>
    <row r="153" spans="5:6" x14ac:dyDescent="0.25">
      <c r="E153" s="3"/>
      <c r="F153" s="3"/>
    </row>
    <row r="154" spans="5:6" x14ac:dyDescent="0.25">
      <c r="E154" s="3"/>
      <c r="F154" s="3"/>
    </row>
    <row r="155" spans="5:6" x14ac:dyDescent="0.25">
      <c r="E155" s="3"/>
      <c r="F155" s="3"/>
    </row>
    <row r="156" spans="5:6" x14ac:dyDescent="0.25">
      <c r="E156" s="3"/>
      <c r="F156" s="3"/>
    </row>
    <row r="157" spans="5:6" x14ac:dyDescent="0.25">
      <c r="E157" s="3"/>
      <c r="F157" s="3"/>
    </row>
    <row r="158" spans="5:6" x14ac:dyDescent="0.25">
      <c r="E158" s="3"/>
      <c r="F158" s="3"/>
    </row>
    <row r="159" spans="5:6" x14ac:dyDescent="0.25">
      <c r="E159" s="3"/>
      <c r="F159" s="3"/>
    </row>
    <row r="160" spans="5:6" x14ac:dyDescent="0.25">
      <c r="E160" s="3"/>
      <c r="F160" s="3"/>
    </row>
    <row r="161" spans="5:6" x14ac:dyDescent="0.25">
      <c r="E161" s="3"/>
      <c r="F161" s="3"/>
    </row>
    <row r="162" spans="5:6" x14ac:dyDescent="0.25">
      <c r="E162" s="3"/>
      <c r="F162" s="3"/>
    </row>
    <row r="163" spans="5:6" x14ac:dyDescent="0.25">
      <c r="E163" s="3"/>
      <c r="F163" s="3"/>
    </row>
    <row r="164" spans="5:6" x14ac:dyDescent="0.25">
      <c r="E164" s="3"/>
      <c r="F164" s="3"/>
    </row>
    <row r="165" spans="5:6" x14ac:dyDescent="0.25">
      <c r="E165" s="3"/>
      <c r="F165" s="3"/>
    </row>
    <row r="166" spans="5:6" x14ac:dyDescent="0.25">
      <c r="E166" s="3"/>
      <c r="F166" s="3"/>
    </row>
    <row r="167" spans="5:6" x14ac:dyDescent="0.25">
      <c r="E167" s="3"/>
      <c r="F167" s="3"/>
    </row>
    <row r="168" spans="5:6" x14ac:dyDescent="0.25">
      <c r="E168" s="3"/>
      <c r="F168" s="3"/>
    </row>
    <row r="169" spans="5:6" x14ac:dyDescent="0.25">
      <c r="E169" s="3"/>
      <c r="F169" s="3"/>
    </row>
    <row r="170" spans="5:6" x14ac:dyDescent="0.25">
      <c r="E170" s="3"/>
      <c r="F170" s="3"/>
    </row>
    <row r="171" spans="5:6" x14ac:dyDescent="0.25">
      <c r="E171" s="3"/>
      <c r="F171" s="3"/>
    </row>
    <row r="172" spans="5:6" x14ac:dyDescent="0.25">
      <c r="E172" s="3"/>
      <c r="F172" s="3"/>
    </row>
    <row r="173" spans="5:6" x14ac:dyDescent="0.25">
      <c r="E173" s="3"/>
      <c r="F173" s="3"/>
    </row>
    <row r="174" spans="5:6" x14ac:dyDescent="0.25">
      <c r="E174" s="3"/>
      <c r="F174" s="3"/>
    </row>
    <row r="175" spans="5:6" x14ac:dyDescent="0.25">
      <c r="E175" s="3"/>
      <c r="F175" s="3"/>
    </row>
    <row r="176" spans="5:6" x14ac:dyDescent="0.25">
      <c r="E176" s="3"/>
      <c r="F176" s="3"/>
    </row>
    <row r="177" spans="5:6" x14ac:dyDescent="0.25">
      <c r="E177" s="3"/>
      <c r="F177" s="3"/>
    </row>
    <row r="178" spans="5:6" x14ac:dyDescent="0.25">
      <c r="E178" s="3"/>
      <c r="F178" s="3"/>
    </row>
    <row r="179" spans="5:6" x14ac:dyDescent="0.25">
      <c r="E179" s="3"/>
      <c r="F179" s="3"/>
    </row>
    <row r="180" spans="5:6" x14ac:dyDescent="0.25">
      <c r="E180" s="3"/>
      <c r="F180" s="3"/>
    </row>
    <row r="181" spans="5:6" x14ac:dyDescent="0.25">
      <c r="E181" s="3"/>
      <c r="F181" s="3"/>
    </row>
    <row r="182" spans="5:6" x14ac:dyDescent="0.25">
      <c r="E182" s="3"/>
      <c r="F182" s="3"/>
    </row>
    <row r="183" spans="5:6" x14ac:dyDescent="0.25">
      <c r="E183" s="3"/>
      <c r="F183" s="3"/>
    </row>
    <row r="184" spans="5:6" x14ac:dyDescent="0.25">
      <c r="E184" s="3"/>
      <c r="F184" s="3"/>
    </row>
    <row r="185" spans="5:6" x14ac:dyDescent="0.25">
      <c r="E185" s="3"/>
      <c r="F185" s="3"/>
    </row>
    <row r="186" spans="5:6" x14ac:dyDescent="0.25">
      <c r="E186" s="3"/>
      <c r="F186" s="3"/>
    </row>
    <row r="187" spans="5:6" x14ac:dyDescent="0.25">
      <c r="E187" s="3"/>
      <c r="F187" s="3"/>
    </row>
    <row r="188" spans="5:6" x14ac:dyDescent="0.25">
      <c r="E188" s="3"/>
      <c r="F188" s="3"/>
    </row>
    <row r="189" spans="5:6" x14ac:dyDescent="0.25">
      <c r="E189" s="3"/>
      <c r="F189" s="3"/>
    </row>
    <row r="190" spans="5:6" x14ac:dyDescent="0.25">
      <c r="E190" s="3"/>
      <c r="F190" s="3"/>
    </row>
    <row r="191" spans="5:6" x14ac:dyDescent="0.25">
      <c r="E191" s="3"/>
      <c r="F191" s="3"/>
    </row>
    <row r="192" spans="5:6" x14ac:dyDescent="0.25">
      <c r="E192" s="3"/>
      <c r="F192" s="3"/>
    </row>
    <row r="193" spans="5:6" x14ac:dyDescent="0.25">
      <c r="E193" s="3"/>
      <c r="F193" s="3"/>
    </row>
    <row r="194" spans="5:6" x14ac:dyDescent="0.25">
      <c r="E194" s="3"/>
      <c r="F194" s="3"/>
    </row>
    <row r="195" spans="5:6" x14ac:dyDescent="0.25">
      <c r="E195" s="3"/>
      <c r="F195" s="3"/>
    </row>
    <row r="196" spans="5:6" x14ac:dyDescent="0.25">
      <c r="E196" s="3"/>
      <c r="F196" s="3"/>
    </row>
    <row r="197" spans="5:6" x14ac:dyDescent="0.25">
      <c r="E197" s="3"/>
      <c r="F197" s="3"/>
    </row>
    <row r="198" spans="5:6" x14ac:dyDescent="0.25">
      <c r="E198" s="3"/>
      <c r="F198" s="3"/>
    </row>
    <row r="199" spans="5:6" x14ac:dyDescent="0.25">
      <c r="E199" s="3"/>
      <c r="F199" s="3"/>
    </row>
    <row r="200" spans="5:6" x14ac:dyDescent="0.25">
      <c r="E200" s="3"/>
      <c r="F200" s="3"/>
    </row>
    <row r="201" spans="5:6" x14ac:dyDescent="0.25">
      <c r="E201" s="3"/>
      <c r="F201" s="3"/>
    </row>
    <row r="202" spans="5:6" x14ac:dyDescent="0.25">
      <c r="E202" s="3"/>
      <c r="F202" s="3"/>
    </row>
    <row r="203" spans="5:6" x14ac:dyDescent="0.25">
      <c r="E203" s="3"/>
      <c r="F203" s="3"/>
    </row>
    <row r="204" spans="5:6" x14ac:dyDescent="0.25">
      <c r="E204" s="3"/>
      <c r="F204" s="3"/>
    </row>
    <row r="205" spans="5:6" x14ac:dyDescent="0.25">
      <c r="E205" s="3"/>
      <c r="F205" s="3"/>
    </row>
    <row r="206" spans="5:6" x14ac:dyDescent="0.25">
      <c r="E206" s="3"/>
      <c r="F206" s="3"/>
    </row>
    <row r="207" spans="5:6" x14ac:dyDescent="0.25">
      <c r="E207" s="3"/>
      <c r="F207" s="3"/>
    </row>
    <row r="208" spans="5:6" x14ac:dyDescent="0.25">
      <c r="E208" s="3"/>
      <c r="F208" s="3"/>
    </row>
    <row r="209" spans="5:6" x14ac:dyDescent="0.25">
      <c r="E209" s="3"/>
      <c r="F209" s="3"/>
    </row>
    <row r="210" spans="5:6" x14ac:dyDescent="0.25">
      <c r="E210" s="3"/>
      <c r="F210" s="3"/>
    </row>
    <row r="211" spans="5:6" x14ac:dyDescent="0.25">
      <c r="E211" s="3"/>
      <c r="F211" s="3"/>
    </row>
    <row r="212" spans="5:6" x14ac:dyDescent="0.25">
      <c r="E212" s="3"/>
      <c r="F212" s="3"/>
    </row>
    <row r="213" spans="5:6" x14ac:dyDescent="0.25">
      <c r="E213" s="3"/>
      <c r="F213" s="3"/>
    </row>
    <row r="214" spans="5:6" x14ac:dyDescent="0.25">
      <c r="E214" s="3"/>
      <c r="F214" s="3"/>
    </row>
    <row r="215" spans="5:6" x14ac:dyDescent="0.25">
      <c r="E215" s="3"/>
      <c r="F215" s="3"/>
    </row>
    <row r="216" spans="5:6" x14ac:dyDescent="0.25">
      <c r="E216" s="3"/>
      <c r="F216" s="3"/>
    </row>
    <row r="217" spans="5:6" x14ac:dyDescent="0.25">
      <c r="E217" s="3"/>
      <c r="F217" s="3"/>
    </row>
    <row r="218" spans="5:6" x14ac:dyDescent="0.25">
      <c r="E218" s="3"/>
      <c r="F218" s="3"/>
    </row>
    <row r="219" spans="5:6" x14ac:dyDescent="0.25">
      <c r="E219" s="3"/>
      <c r="F219" s="3"/>
    </row>
    <row r="220" spans="5:6" x14ac:dyDescent="0.25">
      <c r="E220" s="3"/>
      <c r="F220" s="3"/>
    </row>
    <row r="221" spans="5:6" x14ac:dyDescent="0.25">
      <c r="E221" s="3"/>
      <c r="F221" s="3"/>
    </row>
    <row r="222" spans="5:6" x14ac:dyDescent="0.25">
      <c r="E222" s="3"/>
      <c r="F222" s="3"/>
    </row>
    <row r="223" spans="5:6" x14ac:dyDescent="0.25">
      <c r="E223" s="3"/>
      <c r="F223" s="3"/>
    </row>
    <row r="224" spans="5:6" x14ac:dyDescent="0.25">
      <c r="E224" s="3"/>
      <c r="F224" s="3"/>
    </row>
    <row r="225" spans="5:6" x14ac:dyDescent="0.25">
      <c r="E225" s="3"/>
      <c r="F225" s="3"/>
    </row>
    <row r="226" spans="5:6" x14ac:dyDescent="0.25">
      <c r="E226" s="3"/>
      <c r="F226" s="3"/>
    </row>
    <row r="227" spans="5:6" x14ac:dyDescent="0.25">
      <c r="E227" s="3"/>
      <c r="F227" s="3"/>
    </row>
    <row r="228" spans="5:6" x14ac:dyDescent="0.25">
      <c r="E228" s="3"/>
      <c r="F228" s="3"/>
    </row>
    <row r="229" spans="5:6" x14ac:dyDescent="0.25">
      <c r="E229" s="3"/>
      <c r="F229" s="3"/>
    </row>
    <row r="230" spans="5:6" x14ac:dyDescent="0.25">
      <c r="E230" s="3"/>
      <c r="F230" s="3"/>
    </row>
    <row r="231" spans="5:6" x14ac:dyDescent="0.25">
      <c r="E231" s="3"/>
      <c r="F231" s="3"/>
    </row>
    <row r="232" spans="5:6" x14ac:dyDescent="0.25">
      <c r="E232" s="3"/>
      <c r="F232" s="3"/>
    </row>
    <row r="233" spans="5:6" x14ac:dyDescent="0.25">
      <c r="E233" s="3"/>
      <c r="F233" s="3"/>
    </row>
    <row r="234" spans="5:6" x14ac:dyDescent="0.25">
      <c r="E234" s="3"/>
      <c r="F234" s="3"/>
    </row>
    <row r="235" spans="5:6" x14ac:dyDescent="0.25">
      <c r="E235" s="3"/>
      <c r="F235" s="3"/>
    </row>
    <row r="236" spans="5:6" x14ac:dyDescent="0.25">
      <c r="E236" s="3"/>
      <c r="F236" s="3"/>
    </row>
    <row r="237" spans="5:6" x14ac:dyDescent="0.25">
      <c r="E237" s="3"/>
      <c r="F237" s="3"/>
    </row>
    <row r="238" spans="5:6" x14ac:dyDescent="0.25">
      <c r="E238" s="3"/>
      <c r="F238" s="3"/>
    </row>
    <row r="239" spans="5:6" x14ac:dyDescent="0.25">
      <c r="E239" s="3"/>
      <c r="F239" s="3"/>
    </row>
    <row r="240" spans="5:6" x14ac:dyDescent="0.25">
      <c r="E240" s="3"/>
      <c r="F240" s="3"/>
    </row>
    <row r="241" spans="5:6" x14ac:dyDescent="0.25">
      <c r="E241" s="3"/>
      <c r="F241" s="3"/>
    </row>
    <row r="242" spans="5:6" x14ac:dyDescent="0.25">
      <c r="E242" s="3"/>
      <c r="F242" s="3"/>
    </row>
    <row r="243" spans="5:6" x14ac:dyDescent="0.25">
      <c r="E243" s="3"/>
      <c r="F243" s="3"/>
    </row>
    <row r="244" spans="5:6" x14ac:dyDescent="0.25">
      <c r="E244" s="3"/>
      <c r="F244" s="3"/>
    </row>
    <row r="245" spans="5:6" x14ac:dyDescent="0.25">
      <c r="E245" s="3"/>
      <c r="F245" s="3"/>
    </row>
    <row r="246" spans="5:6" x14ac:dyDescent="0.25">
      <c r="E246" s="3"/>
      <c r="F246" s="3"/>
    </row>
    <row r="247" spans="5:6" x14ac:dyDescent="0.25">
      <c r="E247" s="3"/>
      <c r="F247" s="3"/>
    </row>
    <row r="248" spans="5:6" x14ac:dyDescent="0.25">
      <c r="E248" s="3"/>
      <c r="F248" s="3"/>
    </row>
    <row r="249" spans="5:6" x14ac:dyDescent="0.25">
      <c r="E249" s="3"/>
      <c r="F249" s="3"/>
    </row>
    <row r="250" spans="5:6" x14ac:dyDescent="0.25">
      <c r="E250" s="3"/>
      <c r="F250" s="3"/>
    </row>
    <row r="251" spans="5:6" x14ac:dyDescent="0.25">
      <c r="E251" s="3"/>
      <c r="F251" s="3"/>
    </row>
    <row r="252" spans="5:6" x14ac:dyDescent="0.25">
      <c r="E252" s="3"/>
      <c r="F252" s="3"/>
    </row>
    <row r="253" spans="5:6" x14ac:dyDescent="0.25">
      <c r="E253" s="3"/>
      <c r="F253" s="3"/>
    </row>
    <row r="254" spans="5:6" x14ac:dyDescent="0.25">
      <c r="E254" s="3"/>
      <c r="F254" s="3"/>
    </row>
    <row r="255" spans="5:6" x14ac:dyDescent="0.25">
      <c r="E255" s="3"/>
      <c r="F255" s="3"/>
    </row>
    <row r="256" spans="5:6" x14ac:dyDescent="0.25">
      <c r="E256" s="3"/>
      <c r="F256" s="3"/>
    </row>
    <row r="257" spans="5:6" x14ac:dyDescent="0.25">
      <c r="E257" s="3"/>
      <c r="F257" s="3"/>
    </row>
    <row r="258" spans="5:6" x14ac:dyDescent="0.25">
      <c r="E258" s="3"/>
      <c r="F258" s="3"/>
    </row>
    <row r="259" spans="5:6" x14ac:dyDescent="0.25">
      <c r="E259" s="3"/>
      <c r="F259" s="3"/>
    </row>
    <row r="260" spans="5:6" x14ac:dyDescent="0.25">
      <c r="E260" s="3"/>
      <c r="F260" s="3"/>
    </row>
    <row r="261" spans="5:6" x14ac:dyDescent="0.25">
      <c r="E261" s="3"/>
      <c r="F261" s="3"/>
    </row>
    <row r="262" spans="5:6" x14ac:dyDescent="0.25">
      <c r="E262" s="3"/>
      <c r="F262" s="3"/>
    </row>
    <row r="263" spans="5:6" x14ac:dyDescent="0.25">
      <c r="E263" s="3"/>
      <c r="F263" s="3"/>
    </row>
    <row r="264" spans="5:6" x14ac:dyDescent="0.25">
      <c r="E264" s="3"/>
      <c r="F264" s="3"/>
    </row>
    <row r="265" spans="5:6" x14ac:dyDescent="0.25">
      <c r="E265" s="3"/>
      <c r="F265" s="3"/>
    </row>
    <row r="266" spans="5:6" x14ac:dyDescent="0.25">
      <c r="E266" s="3"/>
      <c r="F266" s="3"/>
    </row>
    <row r="267" spans="5:6" x14ac:dyDescent="0.25">
      <c r="E267" s="3"/>
      <c r="F267" s="3"/>
    </row>
    <row r="268" spans="5:6" x14ac:dyDescent="0.25">
      <c r="E268" s="3"/>
      <c r="F268" s="3"/>
    </row>
    <row r="269" spans="5:6" x14ac:dyDescent="0.25">
      <c r="E269" s="3"/>
      <c r="F269" s="3"/>
    </row>
    <row r="270" spans="5:6" x14ac:dyDescent="0.25">
      <c r="E270" s="3"/>
      <c r="F270" s="3"/>
    </row>
    <row r="271" spans="5:6" x14ac:dyDescent="0.25">
      <c r="E271" s="3"/>
      <c r="F271" s="3"/>
    </row>
    <row r="272" spans="5:6" x14ac:dyDescent="0.25">
      <c r="E272" s="3"/>
      <c r="F272" s="3"/>
    </row>
    <row r="273" spans="5:6" x14ac:dyDescent="0.25">
      <c r="E273" s="3"/>
      <c r="F273" s="3"/>
    </row>
    <row r="274" spans="5:6" x14ac:dyDescent="0.25">
      <c r="E274" s="3"/>
      <c r="F274" s="3"/>
    </row>
    <row r="275" spans="5:6" x14ac:dyDescent="0.25">
      <c r="E275" s="3"/>
      <c r="F275" s="3"/>
    </row>
    <row r="276" spans="5:6" x14ac:dyDescent="0.25">
      <c r="E276" s="3"/>
      <c r="F276" s="3"/>
    </row>
    <row r="277" spans="5:6" x14ac:dyDescent="0.25">
      <c r="E277" s="3"/>
      <c r="F277" s="3"/>
    </row>
    <row r="278" spans="5:6" x14ac:dyDescent="0.25">
      <c r="E278" s="3"/>
      <c r="F278" s="3"/>
    </row>
    <row r="279" spans="5:6" x14ac:dyDescent="0.25">
      <c r="E279" s="3"/>
      <c r="F279" s="3"/>
    </row>
    <row r="280" spans="5:6" x14ac:dyDescent="0.25">
      <c r="E280" s="3"/>
      <c r="F280" s="3"/>
    </row>
    <row r="281" spans="5:6" x14ac:dyDescent="0.25">
      <c r="E281" s="3"/>
      <c r="F281" s="3"/>
    </row>
    <row r="282" spans="5:6" x14ac:dyDescent="0.25">
      <c r="E282" s="3"/>
      <c r="F282" s="3"/>
    </row>
    <row r="283" spans="5:6" x14ac:dyDescent="0.25">
      <c r="E283" s="3"/>
      <c r="F283" s="3"/>
    </row>
    <row r="284" spans="5:6" x14ac:dyDescent="0.25">
      <c r="E284" s="3"/>
      <c r="F284" s="3"/>
    </row>
    <row r="285" spans="5:6" x14ac:dyDescent="0.25">
      <c r="E285" s="3"/>
      <c r="F285" s="3"/>
    </row>
    <row r="286" spans="5:6" x14ac:dyDescent="0.25">
      <c r="E286" s="3"/>
      <c r="F286" s="3"/>
    </row>
    <row r="287" spans="5:6" x14ac:dyDescent="0.25">
      <c r="E287" s="3"/>
      <c r="F287" s="3"/>
    </row>
    <row r="288" spans="5:6" x14ac:dyDescent="0.25">
      <c r="E288" s="3"/>
      <c r="F288" s="3"/>
    </row>
    <row r="289" spans="5:6" x14ac:dyDescent="0.25">
      <c r="E289" s="3"/>
      <c r="F289" s="3"/>
    </row>
    <row r="290" spans="5:6" x14ac:dyDescent="0.25">
      <c r="E290" s="3"/>
      <c r="F290" s="3"/>
    </row>
    <row r="291" spans="5:6" x14ac:dyDescent="0.25">
      <c r="E291" s="3"/>
      <c r="F291" s="3"/>
    </row>
    <row r="292" spans="5:6" x14ac:dyDescent="0.25">
      <c r="E292" s="3"/>
      <c r="F292" s="3"/>
    </row>
    <row r="293" spans="5:6" x14ac:dyDescent="0.25">
      <c r="E293" s="3"/>
      <c r="F293" s="3"/>
    </row>
    <row r="294" spans="5:6" x14ac:dyDescent="0.25">
      <c r="E294" s="3"/>
      <c r="F294" s="3"/>
    </row>
    <row r="295" spans="5:6" x14ac:dyDescent="0.25">
      <c r="E295" s="3"/>
      <c r="F295" s="3"/>
    </row>
    <row r="296" spans="5:6" x14ac:dyDescent="0.25">
      <c r="E296" s="3"/>
      <c r="F296" s="3"/>
    </row>
    <row r="297" spans="5:6" x14ac:dyDescent="0.25">
      <c r="E297" s="3"/>
      <c r="F297" s="3"/>
    </row>
    <row r="298" spans="5:6" x14ac:dyDescent="0.25">
      <c r="E298" s="3"/>
      <c r="F298" s="3"/>
    </row>
    <row r="299" spans="5:6" x14ac:dyDescent="0.25">
      <c r="E299" s="3"/>
      <c r="F299" s="3"/>
    </row>
    <row r="300" spans="5:6" x14ac:dyDescent="0.25">
      <c r="E300" s="3"/>
      <c r="F300" s="3"/>
    </row>
    <row r="301" spans="5:6" x14ac:dyDescent="0.25">
      <c r="E301" s="3"/>
      <c r="F301" s="3"/>
    </row>
    <row r="302" spans="5:6" x14ac:dyDescent="0.25">
      <c r="E302" s="3"/>
      <c r="F302" s="3"/>
    </row>
    <row r="303" spans="5:6" x14ac:dyDescent="0.25">
      <c r="E303" s="3"/>
      <c r="F303" s="3"/>
    </row>
    <row r="304" spans="5:6" x14ac:dyDescent="0.25">
      <c r="E304" s="3"/>
      <c r="F304" s="3"/>
    </row>
    <row r="305" spans="5:6" x14ac:dyDescent="0.25">
      <c r="E305" s="3"/>
      <c r="F305" s="3"/>
    </row>
    <row r="306" spans="5:6" x14ac:dyDescent="0.25">
      <c r="E306" s="3"/>
      <c r="F306" s="3"/>
    </row>
    <row r="307" spans="5:6" x14ac:dyDescent="0.25">
      <c r="E307" s="3"/>
      <c r="F307" s="3"/>
    </row>
    <row r="308" spans="5:6" x14ac:dyDescent="0.25">
      <c r="E308" s="3"/>
      <c r="F308" s="3"/>
    </row>
    <row r="309" spans="5:6" x14ac:dyDescent="0.25">
      <c r="E309" s="3"/>
      <c r="F309" s="3"/>
    </row>
    <row r="310" spans="5:6" x14ac:dyDescent="0.25">
      <c r="E310" s="3"/>
      <c r="F310" s="3"/>
    </row>
    <row r="311" spans="5:6" x14ac:dyDescent="0.25">
      <c r="E311" s="3"/>
      <c r="F311" s="3"/>
    </row>
    <row r="312" spans="5:6" x14ac:dyDescent="0.25">
      <c r="E312" s="3"/>
      <c r="F312" s="3"/>
    </row>
    <row r="313" spans="5:6" x14ac:dyDescent="0.25">
      <c r="E313" s="3"/>
      <c r="F313" s="3"/>
    </row>
    <row r="314" spans="5:6" x14ac:dyDescent="0.25">
      <c r="E314" s="3"/>
      <c r="F314" s="3"/>
    </row>
    <row r="315" spans="5:6" x14ac:dyDescent="0.25">
      <c r="E315" s="3"/>
      <c r="F315" s="3"/>
    </row>
    <row r="316" spans="5:6" x14ac:dyDescent="0.25">
      <c r="E316" s="3"/>
      <c r="F316" s="3"/>
    </row>
    <row r="317" spans="5:6" x14ac:dyDescent="0.25">
      <c r="E317" s="3"/>
      <c r="F317" s="3"/>
    </row>
    <row r="318" spans="5:6" x14ac:dyDescent="0.25">
      <c r="E318" s="3"/>
      <c r="F318" s="3"/>
    </row>
    <row r="319" spans="5:6" x14ac:dyDescent="0.25">
      <c r="E319" s="3"/>
      <c r="F319" s="3"/>
    </row>
    <row r="320" spans="5:6" x14ac:dyDescent="0.25">
      <c r="E320" s="3"/>
      <c r="F320" s="3"/>
    </row>
    <row r="321" spans="5:6" x14ac:dyDescent="0.25">
      <c r="E321" s="3"/>
      <c r="F321" s="3"/>
    </row>
    <row r="322" spans="5:6" x14ac:dyDescent="0.25">
      <c r="E322" s="3"/>
      <c r="F322" s="3"/>
    </row>
    <row r="323" spans="5:6" x14ac:dyDescent="0.25">
      <c r="E323" s="3"/>
      <c r="F323" s="3"/>
    </row>
    <row r="324" spans="5:6" x14ac:dyDescent="0.25">
      <c r="E324" s="3"/>
      <c r="F324" s="3"/>
    </row>
    <row r="325" spans="5:6" x14ac:dyDescent="0.25">
      <c r="E325" s="3"/>
      <c r="F325" s="3"/>
    </row>
    <row r="326" spans="5:6" x14ac:dyDescent="0.25">
      <c r="E326" s="3"/>
      <c r="F326" s="3"/>
    </row>
    <row r="327" spans="5:6" x14ac:dyDescent="0.25">
      <c r="E327" s="3"/>
      <c r="F327" s="3"/>
    </row>
    <row r="328" spans="5:6" x14ac:dyDescent="0.25">
      <c r="E328" s="3"/>
      <c r="F328" s="3"/>
    </row>
    <row r="329" spans="5:6" x14ac:dyDescent="0.25">
      <c r="E329" s="3"/>
      <c r="F329" s="3"/>
    </row>
    <row r="330" spans="5:6" x14ac:dyDescent="0.25">
      <c r="E330" s="3"/>
      <c r="F330" s="3"/>
    </row>
    <row r="331" spans="5:6" x14ac:dyDescent="0.25">
      <c r="E331" s="3"/>
      <c r="F331" s="3"/>
    </row>
    <row r="332" spans="5:6" x14ac:dyDescent="0.25">
      <c r="E332" s="3"/>
      <c r="F332" s="3"/>
    </row>
    <row r="333" spans="5:6" x14ac:dyDescent="0.25">
      <c r="E333" s="3"/>
      <c r="F333" s="3"/>
    </row>
    <row r="334" spans="5:6" x14ac:dyDescent="0.25">
      <c r="E334" s="3"/>
      <c r="F334" s="3"/>
    </row>
    <row r="335" spans="5:6" x14ac:dyDescent="0.25">
      <c r="E335" s="3"/>
      <c r="F335" s="3"/>
    </row>
    <row r="336" spans="5:6" x14ac:dyDescent="0.25">
      <c r="E336" s="3"/>
      <c r="F336" s="3"/>
    </row>
    <row r="337" spans="5:6" x14ac:dyDescent="0.25">
      <c r="E337" s="3"/>
      <c r="F337" s="3"/>
    </row>
    <row r="338" spans="5:6" x14ac:dyDescent="0.25">
      <c r="E338" s="3"/>
      <c r="F338" s="3"/>
    </row>
    <row r="339" spans="5:6" x14ac:dyDescent="0.25">
      <c r="E339" s="3"/>
      <c r="F339" s="3"/>
    </row>
    <row r="340" spans="5:6" x14ac:dyDescent="0.25">
      <c r="E340" s="3"/>
      <c r="F340" s="3"/>
    </row>
    <row r="341" spans="5:6" x14ac:dyDescent="0.25">
      <c r="E341" s="3"/>
      <c r="F341" s="3"/>
    </row>
    <row r="342" spans="5:6" x14ac:dyDescent="0.25">
      <c r="E342" s="3"/>
      <c r="F342" s="3"/>
    </row>
    <row r="343" spans="5:6" x14ac:dyDescent="0.25">
      <c r="E343" s="3"/>
      <c r="F343" s="3"/>
    </row>
    <row r="344" spans="5:6" x14ac:dyDescent="0.25">
      <c r="E344" s="3"/>
      <c r="F344" s="3"/>
    </row>
    <row r="345" spans="5:6" x14ac:dyDescent="0.25">
      <c r="E345" s="3"/>
      <c r="F345" s="3"/>
    </row>
    <row r="346" spans="5:6" x14ac:dyDescent="0.25">
      <c r="E346" s="3"/>
      <c r="F346" s="3"/>
    </row>
    <row r="347" spans="5:6" x14ac:dyDescent="0.25">
      <c r="E347" s="3"/>
      <c r="F347" s="3"/>
    </row>
    <row r="348" spans="5:6" x14ac:dyDescent="0.25">
      <c r="E348" s="3"/>
      <c r="F348" s="3"/>
    </row>
    <row r="349" spans="5:6" x14ac:dyDescent="0.25">
      <c r="E349" s="3"/>
      <c r="F349" s="3"/>
    </row>
    <row r="350" spans="5:6" x14ac:dyDescent="0.25">
      <c r="E350" s="3"/>
      <c r="F350" s="3"/>
    </row>
    <row r="351" spans="5:6" x14ac:dyDescent="0.25">
      <c r="E351" s="3"/>
      <c r="F351" s="3"/>
    </row>
    <row r="352" spans="5:6" x14ac:dyDescent="0.25">
      <c r="E352" s="3"/>
      <c r="F352" s="3"/>
    </row>
    <row r="353" spans="5:6" x14ac:dyDescent="0.25">
      <c r="E353" s="3"/>
      <c r="F353" s="3"/>
    </row>
    <row r="354" spans="5:6" x14ac:dyDescent="0.25">
      <c r="E354" s="3"/>
      <c r="F354" s="3"/>
    </row>
    <row r="355" spans="5:6" x14ac:dyDescent="0.25">
      <c r="E355" s="3"/>
      <c r="F355" s="3"/>
    </row>
    <row r="356" spans="5:6" x14ac:dyDescent="0.25">
      <c r="E356" s="3"/>
      <c r="F356" s="3"/>
    </row>
    <row r="357" spans="5:6" x14ac:dyDescent="0.25">
      <c r="E357" s="3"/>
      <c r="F357" s="3"/>
    </row>
    <row r="358" spans="5:6" x14ac:dyDescent="0.25">
      <c r="E358" s="3"/>
      <c r="F358" s="3"/>
    </row>
    <row r="359" spans="5:6" x14ac:dyDescent="0.25">
      <c r="E359" s="3"/>
      <c r="F359" s="3"/>
    </row>
    <row r="360" spans="5:6" x14ac:dyDescent="0.25">
      <c r="E360" s="3"/>
      <c r="F360" s="3"/>
    </row>
    <row r="361" spans="5:6" x14ac:dyDescent="0.25">
      <c r="E361" s="3"/>
      <c r="F361" s="3"/>
    </row>
    <row r="362" spans="5:6" x14ac:dyDescent="0.25">
      <c r="E362" s="3"/>
      <c r="F362" s="3"/>
    </row>
    <row r="363" spans="5:6" x14ac:dyDescent="0.25">
      <c r="E363" s="3"/>
      <c r="F363" s="3"/>
    </row>
    <row r="364" spans="5:6" x14ac:dyDescent="0.25">
      <c r="E364" s="3"/>
      <c r="F364" s="3"/>
    </row>
    <row r="365" spans="5:6" x14ac:dyDescent="0.25">
      <c r="E365" s="3"/>
      <c r="F365" s="3"/>
    </row>
    <row r="366" spans="5:6" x14ac:dyDescent="0.25">
      <c r="E366" s="3"/>
      <c r="F366" s="3"/>
    </row>
    <row r="367" spans="5:6" x14ac:dyDescent="0.25">
      <c r="E367" s="3"/>
      <c r="F367" s="3"/>
    </row>
    <row r="368" spans="5:6" x14ac:dyDescent="0.25">
      <c r="E368" s="3"/>
      <c r="F368" s="3"/>
    </row>
    <row r="369" spans="5:6" x14ac:dyDescent="0.25">
      <c r="E369" s="3"/>
      <c r="F369" s="3"/>
    </row>
    <row r="370" spans="5:6" x14ac:dyDescent="0.25">
      <c r="E370" s="3"/>
      <c r="F370" s="3"/>
    </row>
    <row r="371" spans="5:6" x14ac:dyDescent="0.25">
      <c r="E371" s="3"/>
      <c r="F371" s="3"/>
    </row>
    <row r="372" spans="5:6" x14ac:dyDescent="0.25">
      <c r="E372" s="3"/>
      <c r="F372" s="3"/>
    </row>
    <row r="373" spans="5:6" x14ac:dyDescent="0.25">
      <c r="E373" s="3"/>
      <c r="F373" s="3"/>
    </row>
    <row r="374" spans="5:6" x14ac:dyDescent="0.25">
      <c r="E374" s="3"/>
      <c r="F374" s="3"/>
    </row>
    <row r="375" spans="5:6" x14ac:dyDescent="0.25">
      <c r="E375" s="3"/>
      <c r="F375" s="3"/>
    </row>
    <row r="376" spans="5:6" x14ac:dyDescent="0.25">
      <c r="E376" s="3"/>
      <c r="F376" s="3"/>
    </row>
    <row r="377" spans="5:6" x14ac:dyDescent="0.25">
      <c r="E377" s="3"/>
      <c r="F377" s="3"/>
    </row>
    <row r="378" spans="5:6" x14ac:dyDescent="0.25">
      <c r="E378" s="3"/>
      <c r="F378" s="3"/>
    </row>
    <row r="379" spans="5:6" x14ac:dyDescent="0.25">
      <c r="E379" s="3"/>
      <c r="F379" s="3"/>
    </row>
    <row r="380" spans="5:6" x14ac:dyDescent="0.25">
      <c r="E380" s="3"/>
      <c r="F380" s="3"/>
    </row>
    <row r="381" spans="5:6" x14ac:dyDescent="0.25">
      <c r="E381" s="3"/>
      <c r="F381" s="3"/>
    </row>
    <row r="382" spans="5:6" x14ac:dyDescent="0.25">
      <c r="E382" s="3"/>
      <c r="F382" s="3"/>
    </row>
    <row r="383" spans="5:6" x14ac:dyDescent="0.25">
      <c r="E383" s="3"/>
      <c r="F383" s="3"/>
    </row>
    <row r="384" spans="5:6" x14ac:dyDescent="0.25">
      <c r="E384" s="3"/>
      <c r="F384" s="3"/>
    </row>
    <row r="385" spans="5:6" x14ac:dyDescent="0.25">
      <c r="E385" s="3"/>
      <c r="F385" s="3"/>
    </row>
    <row r="386" spans="5:6" x14ac:dyDescent="0.25">
      <c r="E386" s="3"/>
      <c r="F386" s="3"/>
    </row>
    <row r="387" spans="5:6" x14ac:dyDescent="0.25">
      <c r="E387" s="3"/>
      <c r="F387" s="3"/>
    </row>
    <row r="388" spans="5:6" x14ac:dyDescent="0.25">
      <c r="E388" s="3"/>
      <c r="F388" s="3"/>
    </row>
    <row r="389" spans="5:6" x14ac:dyDescent="0.25">
      <c r="E389" s="3"/>
      <c r="F389" s="3"/>
    </row>
    <row r="390" spans="5:6" x14ac:dyDescent="0.25">
      <c r="E390" s="3"/>
      <c r="F390" s="3"/>
    </row>
    <row r="391" spans="5:6" x14ac:dyDescent="0.25">
      <c r="E391" s="3"/>
      <c r="F391" s="3"/>
    </row>
    <row r="392" spans="5:6" x14ac:dyDescent="0.25">
      <c r="E392" s="3"/>
      <c r="F392" s="3"/>
    </row>
    <row r="393" spans="5:6" x14ac:dyDescent="0.25">
      <c r="E393" s="3"/>
      <c r="F393" s="3"/>
    </row>
    <row r="394" spans="5:6" x14ac:dyDescent="0.25">
      <c r="E394" s="3"/>
      <c r="F394" s="3"/>
    </row>
    <row r="395" spans="5:6" x14ac:dyDescent="0.25">
      <c r="E395" s="3"/>
      <c r="F395" s="3"/>
    </row>
    <row r="396" spans="5:6" x14ac:dyDescent="0.25">
      <c r="E396" s="3"/>
      <c r="F396" s="3"/>
    </row>
    <row r="397" spans="5:6" x14ac:dyDescent="0.25">
      <c r="E397" s="3"/>
      <c r="F397" s="3"/>
    </row>
    <row r="398" spans="5:6" x14ac:dyDescent="0.25">
      <c r="E398" s="3"/>
      <c r="F398" s="3"/>
    </row>
    <row r="399" spans="5:6" x14ac:dyDescent="0.25">
      <c r="E399" s="3"/>
      <c r="F399" s="3"/>
    </row>
    <row r="400" spans="5:6" x14ac:dyDescent="0.25">
      <c r="E400" s="3"/>
      <c r="F400" s="3"/>
    </row>
    <row r="401" spans="5:6" x14ac:dyDescent="0.25">
      <c r="E401" s="3"/>
      <c r="F401" s="3"/>
    </row>
    <row r="402" spans="5:6" x14ac:dyDescent="0.25">
      <c r="E402" s="3"/>
      <c r="F402" s="3"/>
    </row>
    <row r="403" spans="5:6" x14ac:dyDescent="0.25">
      <c r="E403" s="3"/>
      <c r="F403" s="3"/>
    </row>
    <row r="404" spans="5:6" x14ac:dyDescent="0.25">
      <c r="E404" s="3"/>
      <c r="F404" s="3"/>
    </row>
    <row r="405" spans="5:6" x14ac:dyDescent="0.25">
      <c r="E405" s="3"/>
      <c r="F405" s="3"/>
    </row>
    <row r="406" spans="5:6" x14ac:dyDescent="0.25">
      <c r="E406" s="3"/>
      <c r="F406" s="3"/>
    </row>
    <row r="407" spans="5:6" x14ac:dyDescent="0.25">
      <c r="E407" s="3"/>
      <c r="F407" s="3"/>
    </row>
    <row r="408" spans="5:6" x14ac:dyDescent="0.25">
      <c r="E408" s="3"/>
      <c r="F408" s="3"/>
    </row>
    <row r="409" spans="5:6" x14ac:dyDescent="0.25">
      <c r="E409" s="3"/>
      <c r="F409" s="3"/>
    </row>
    <row r="410" spans="5:6" x14ac:dyDescent="0.25">
      <c r="E410" s="3"/>
      <c r="F410" s="3"/>
    </row>
    <row r="411" spans="5:6" x14ac:dyDescent="0.25">
      <c r="E411" s="3"/>
      <c r="F411" s="3"/>
    </row>
    <row r="412" spans="5:6" x14ac:dyDescent="0.25">
      <c r="E412" s="3"/>
      <c r="F412" s="3"/>
    </row>
    <row r="413" spans="5:6" x14ac:dyDescent="0.25">
      <c r="E413" s="3"/>
      <c r="F413" s="3"/>
    </row>
    <row r="414" spans="5:6" x14ac:dyDescent="0.25">
      <c r="E414" s="3"/>
      <c r="F414" s="3"/>
    </row>
    <row r="415" spans="5:6" x14ac:dyDescent="0.25">
      <c r="E415" s="3"/>
      <c r="F415" s="3"/>
    </row>
    <row r="416" spans="5:6" x14ac:dyDescent="0.25">
      <c r="E416" s="3"/>
      <c r="F416" s="3"/>
    </row>
    <row r="417" spans="5:6" x14ac:dyDescent="0.25">
      <c r="E417" s="3"/>
      <c r="F417" s="3"/>
    </row>
    <row r="418" spans="5:6" x14ac:dyDescent="0.25">
      <c r="E418" s="3"/>
      <c r="F418" s="3"/>
    </row>
    <row r="419" spans="5:6" x14ac:dyDescent="0.25">
      <c r="E419" s="3"/>
      <c r="F419" s="3"/>
    </row>
    <row r="420" spans="5:6" x14ac:dyDescent="0.25">
      <c r="E420" s="3"/>
      <c r="F420" s="3"/>
    </row>
    <row r="421" spans="5:6" x14ac:dyDescent="0.25">
      <c r="E421" s="3"/>
      <c r="F421" s="3"/>
    </row>
    <row r="422" spans="5:6" x14ac:dyDescent="0.25">
      <c r="E422" s="3"/>
      <c r="F422" s="3"/>
    </row>
    <row r="423" spans="5:6" x14ac:dyDescent="0.25">
      <c r="E423" s="3"/>
      <c r="F423" s="3"/>
    </row>
    <row r="424" spans="5:6" x14ac:dyDescent="0.25">
      <c r="E424" s="3"/>
      <c r="F424" s="3"/>
    </row>
    <row r="425" spans="5:6" x14ac:dyDescent="0.25">
      <c r="E425" s="3"/>
      <c r="F425" s="3"/>
    </row>
    <row r="426" spans="5:6" x14ac:dyDescent="0.25">
      <c r="E426" s="3"/>
      <c r="F426" s="3"/>
    </row>
    <row r="427" spans="5:6" x14ac:dyDescent="0.25">
      <c r="E427" s="3"/>
      <c r="F427" s="3"/>
    </row>
    <row r="428" spans="5:6" x14ac:dyDescent="0.25">
      <c r="E428" s="3"/>
      <c r="F428" s="3"/>
    </row>
    <row r="429" spans="5:6" x14ac:dyDescent="0.25">
      <c r="E429" s="3"/>
      <c r="F429" s="3"/>
    </row>
    <row r="430" spans="5:6" x14ac:dyDescent="0.25">
      <c r="E430" s="3"/>
      <c r="F430" s="3"/>
    </row>
    <row r="431" spans="5:6" x14ac:dyDescent="0.25">
      <c r="E431" s="3"/>
      <c r="F431" s="3"/>
    </row>
    <row r="432" spans="5:6" x14ac:dyDescent="0.25">
      <c r="E432" s="3"/>
      <c r="F432" s="3"/>
    </row>
    <row r="433" spans="5:6" x14ac:dyDescent="0.25">
      <c r="E433" s="3"/>
      <c r="F433" s="3"/>
    </row>
    <row r="434" spans="5:6" x14ac:dyDescent="0.25">
      <c r="E434" s="3"/>
      <c r="F434" s="3"/>
    </row>
    <row r="435" spans="5:6" x14ac:dyDescent="0.25">
      <c r="E435" s="3"/>
      <c r="F435" s="3"/>
    </row>
    <row r="436" spans="5:6" x14ac:dyDescent="0.25">
      <c r="E436" s="3"/>
      <c r="F436" s="3"/>
    </row>
    <row r="437" spans="5:6" x14ac:dyDescent="0.25">
      <c r="E437" s="3"/>
      <c r="F437" s="3"/>
    </row>
    <row r="438" spans="5:6" x14ac:dyDescent="0.25">
      <c r="E438" s="3"/>
      <c r="F438" s="3"/>
    </row>
    <row r="439" spans="5:6" x14ac:dyDescent="0.25">
      <c r="E439" s="3"/>
      <c r="F439" s="3"/>
    </row>
    <row r="440" spans="5:6" x14ac:dyDescent="0.25">
      <c r="E440" s="3"/>
      <c r="F440" s="3"/>
    </row>
    <row r="441" spans="5:6" x14ac:dyDescent="0.25">
      <c r="E441" s="3"/>
      <c r="F441" s="3"/>
    </row>
    <row r="442" spans="5:6" x14ac:dyDescent="0.25">
      <c r="E442" s="3"/>
      <c r="F442" s="3"/>
    </row>
    <row r="443" spans="5:6" x14ac:dyDescent="0.25">
      <c r="E443" s="3"/>
      <c r="F443" s="3"/>
    </row>
    <row r="444" spans="5:6" x14ac:dyDescent="0.25">
      <c r="E444" s="3"/>
      <c r="F444" s="3"/>
    </row>
    <row r="445" spans="5:6" x14ac:dyDescent="0.25">
      <c r="E445" s="3"/>
      <c r="F445" s="3"/>
    </row>
    <row r="446" spans="5:6" x14ac:dyDescent="0.25">
      <c r="E446" s="3"/>
      <c r="F446" s="3"/>
    </row>
    <row r="447" spans="5:6" x14ac:dyDescent="0.25">
      <c r="E447" s="3"/>
      <c r="F447" s="3"/>
    </row>
    <row r="448" spans="5:6" x14ac:dyDescent="0.25">
      <c r="E448" s="3"/>
      <c r="F448" s="3"/>
    </row>
    <row r="449" spans="5:6" x14ac:dyDescent="0.25">
      <c r="E449" s="3"/>
      <c r="F449" s="3"/>
    </row>
    <row r="450" spans="5:6" x14ac:dyDescent="0.25">
      <c r="E450" s="3"/>
      <c r="F450" s="3"/>
    </row>
    <row r="451" spans="5:6" x14ac:dyDescent="0.25">
      <c r="E451" s="3"/>
      <c r="F451" s="3"/>
    </row>
    <row r="452" spans="5:6" x14ac:dyDescent="0.25">
      <c r="E452" s="3"/>
      <c r="F452" s="3"/>
    </row>
    <row r="453" spans="5:6" x14ac:dyDescent="0.25">
      <c r="E453" s="3"/>
      <c r="F453" s="3"/>
    </row>
    <row r="454" spans="5:6" x14ac:dyDescent="0.25">
      <c r="E454" s="3"/>
      <c r="F454" s="3"/>
    </row>
    <row r="455" spans="5:6" x14ac:dyDescent="0.25">
      <c r="E455" s="3"/>
      <c r="F455" s="3"/>
    </row>
    <row r="456" spans="5:6" x14ac:dyDescent="0.25">
      <c r="E456" s="3"/>
      <c r="F456" s="3"/>
    </row>
    <row r="457" spans="5:6" x14ac:dyDescent="0.25">
      <c r="E457" s="3"/>
      <c r="F457" s="3"/>
    </row>
    <row r="458" spans="5:6" x14ac:dyDescent="0.25">
      <c r="E458" s="3"/>
      <c r="F458" s="3"/>
    </row>
    <row r="459" spans="5:6" x14ac:dyDescent="0.25">
      <c r="E459" s="3"/>
      <c r="F459" s="3"/>
    </row>
    <row r="460" spans="5:6" x14ac:dyDescent="0.25">
      <c r="E460" s="3"/>
      <c r="F460" s="3"/>
    </row>
    <row r="461" spans="5:6" x14ac:dyDescent="0.25">
      <c r="E461" s="3"/>
      <c r="F461" s="3"/>
    </row>
    <row r="462" spans="5:6" x14ac:dyDescent="0.25">
      <c r="E462" s="3"/>
      <c r="F462" s="3"/>
    </row>
    <row r="463" spans="5:6" x14ac:dyDescent="0.25">
      <c r="E463" s="3"/>
      <c r="F463" s="3"/>
    </row>
    <row r="464" spans="5:6" x14ac:dyDescent="0.25">
      <c r="E464" s="3"/>
      <c r="F464" s="3"/>
    </row>
    <row r="465" spans="5:6" x14ac:dyDescent="0.25">
      <c r="E465" s="3"/>
      <c r="F465" s="3"/>
    </row>
    <row r="466" spans="5:6" x14ac:dyDescent="0.25">
      <c r="E466" s="3"/>
      <c r="F466" s="3"/>
    </row>
    <row r="467" spans="5:6" x14ac:dyDescent="0.25">
      <c r="E467" s="3"/>
      <c r="F467" s="3"/>
    </row>
    <row r="468" spans="5:6" x14ac:dyDescent="0.25">
      <c r="E468" s="3"/>
      <c r="F468" s="3"/>
    </row>
    <row r="469" spans="5:6" x14ac:dyDescent="0.25">
      <c r="E469" s="3"/>
      <c r="F469" s="3"/>
    </row>
    <row r="470" spans="5:6" x14ac:dyDescent="0.25">
      <c r="E470" s="3"/>
      <c r="F470" s="3"/>
    </row>
    <row r="471" spans="5:6" x14ac:dyDescent="0.25">
      <c r="E471" s="3"/>
      <c r="F471" s="3"/>
    </row>
    <row r="472" spans="5:6" x14ac:dyDescent="0.25">
      <c r="E472" s="3"/>
      <c r="F472" s="3"/>
    </row>
    <row r="473" spans="5:6" x14ac:dyDescent="0.25">
      <c r="E473" s="3"/>
      <c r="F473" s="3"/>
    </row>
    <row r="474" spans="5:6" x14ac:dyDescent="0.25">
      <c r="E474" s="3"/>
      <c r="F474" s="3"/>
    </row>
    <row r="475" spans="5:6" x14ac:dyDescent="0.25">
      <c r="E475" s="3"/>
      <c r="F475" s="3"/>
    </row>
    <row r="476" spans="5:6" x14ac:dyDescent="0.25">
      <c r="E476" s="3"/>
      <c r="F476" s="3"/>
    </row>
    <row r="477" spans="5:6" x14ac:dyDescent="0.25">
      <c r="E477" s="3"/>
      <c r="F477" s="3"/>
    </row>
    <row r="478" spans="5:6" x14ac:dyDescent="0.25">
      <c r="E478" s="3"/>
      <c r="F478" s="3"/>
    </row>
    <row r="479" spans="5:6" x14ac:dyDescent="0.25">
      <c r="E479" s="3"/>
      <c r="F479" s="3"/>
    </row>
    <row r="480" spans="5:6" x14ac:dyDescent="0.25">
      <c r="E480" s="3"/>
      <c r="F480" s="3"/>
    </row>
    <row r="481" spans="5:6" x14ac:dyDescent="0.25">
      <c r="E481" s="3"/>
      <c r="F481" s="3"/>
    </row>
    <row r="482" spans="5:6" x14ac:dyDescent="0.25">
      <c r="E482" s="3"/>
      <c r="F482" s="3"/>
    </row>
    <row r="483" spans="5:6" x14ac:dyDescent="0.25">
      <c r="E483" s="3"/>
      <c r="F483" s="3"/>
    </row>
    <row r="484" spans="5:6" x14ac:dyDescent="0.25">
      <c r="E484" s="3"/>
      <c r="F484" s="3"/>
    </row>
    <row r="485" spans="5:6" x14ac:dyDescent="0.25">
      <c r="E485" s="3"/>
      <c r="F485" s="3"/>
    </row>
    <row r="486" spans="5:6" x14ac:dyDescent="0.25">
      <c r="E486" s="3"/>
      <c r="F486" s="3"/>
    </row>
    <row r="487" spans="5:6" x14ac:dyDescent="0.25">
      <c r="E487" s="3"/>
      <c r="F487" s="3"/>
    </row>
    <row r="488" spans="5:6" x14ac:dyDescent="0.25">
      <c r="E488" s="3"/>
      <c r="F488" s="3"/>
    </row>
    <row r="489" spans="5:6" x14ac:dyDescent="0.25">
      <c r="E489" s="3"/>
      <c r="F489" s="3"/>
    </row>
    <row r="490" spans="5:6" x14ac:dyDescent="0.25">
      <c r="E490" s="3"/>
      <c r="F490" s="3"/>
    </row>
    <row r="491" spans="5:6" x14ac:dyDescent="0.25">
      <c r="E491" s="3"/>
      <c r="F491" s="3"/>
    </row>
    <row r="492" spans="5:6" x14ac:dyDescent="0.25">
      <c r="E492" s="3"/>
      <c r="F492" s="3"/>
    </row>
    <row r="493" spans="5:6" x14ac:dyDescent="0.25">
      <c r="E493" s="3"/>
      <c r="F493" s="3"/>
    </row>
    <row r="494" spans="5:6" x14ac:dyDescent="0.25">
      <c r="E494" s="3"/>
      <c r="F494" s="3"/>
    </row>
    <row r="495" spans="5:6" x14ac:dyDescent="0.25">
      <c r="E495" s="3"/>
      <c r="F495" s="3"/>
    </row>
    <row r="496" spans="5:6" x14ac:dyDescent="0.25">
      <c r="E496" s="3"/>
      <c r="F496" s="3"/>
    </row>
    <row r="497" spans="5:6" x14ac:dyDescent="0.25">
      <c r="E497" s="3"/>
      <c r="F497" s="3"/>
    </row>
    <row r="498" spans="5:6" x14ac:dyDescent="0.25">
      <c r="E498" s="3"/>
      <c r="F498" s="3"/>
    </row>
    <row r="499" spans="5:6" x14ac:dyDescent="0.25">
      <c r="E499" s="3"/>
      <c r="F499" s="3"/>
    </row>
    <row r="500" spans="5:6" x14ac:dyDescent="0.25">
      <c r="E500" s="3"/>
      <c r="F500" s="3"/>
    </row>
    <row r="501" spans="5:6" x14ac:dyDescent="0.25">
      <c r="E501" s="3"/>
      <c r="F501" s="3"/>
    </row>
    <row r="502" spans="5:6" x14ac:dyDescent="0.25">
      <c r="E502" s="3"/>
      <c r="F502" s="3"/>
    </row>
    <row r="503" spans="5:6" x14ac:dyDescent="0.25">
      <c r="E503" s="3"/>
      <c r="F503" s="3"/>
    </row>
    <row r="504" spans="5:6" x14ac:dyDescent="0.25">
      <c r="E504" s="3"/>
      <c r="F504" s="3"/>
    </row>
    <row r="505" spans="5:6" x14ac:dyDescent="0.25">
      <c r="E505" s="3"/>
      <c r="F505" s="3"/>
    </row>
    <row r="506" spans="5:6" x14ac:dyDescent="0.25">
      <c r="E506" s="3"/>
      <c r="F506" s="3"/>
    </row>
    <row r="507" spans="5:6" x14ac:dyDescent="0.25">
      <c r="E507" s="3"/>
      <c r="F507" s="3"/>
    </row>
    <row r="508" spans="5:6" x14ac:dyDescent="0.25">
      <c r="E508" s="3"/>
      <c r="F508" s="3"/>
    </row>
    <row r="509" spans="5:6" x14ac:dyDescent="0.25">
      <c r="E509" s="3"/>
      <c r="F509" s="3"/>
    </row>
    <row r="510" spans="5:6" x14ac:dyDescent="0.25">
      <c r="E510" s="3"/>
      <c r="F510" s="3"/>
    </row>
    <row r="511" spans="5:6" x14ac:dyDescent="0.25">
      <c r="E511" s="3"/>
      <c r="F511" s="3"/>
    </row>
    <row r="512" spans="5:6" x14ac:dyDescent="0.25">
      <c r="E512" s="3"/>
      <c r="F512" s="3"/>
    </row>
    <row r="513" spans="5:6" x14ac:dyDescent="0.25">
      <c r="E513" s="3"/>
      <c r="F513" s="3"/>
    </row>
    <row r="514" spans="5:6" x14ac:dyDescent="0.25">
      <c r="E514" s="3"/>
      <c r="F514" s="3"/>
    </row>
    <row r="515" spans="5:6" x14ac:dyDescent="0.25">
      <c r="E515" s="3"/>
      <c r="F515" s="3"/>
    </row>
    <row r="516" spans="5:6" x14ac:dyDescent="0.25">
      <c r="E516" s="3"/>
      <c r="F516" s="3"/>
    </row>
    <row r="517" spans="5:6" x14ac:dyDescent="0.25">
      <c r="E517" s="3"/>
      <c r="F517" s="3"/>
    </row>
    <row r="518" spans="5:6" x14ac:dyDescent="0.25">
      <c r="E518" s="3"/>
      <c r="F518" s="3"/>
    </row>
    <row r="519" spans="5:6" x14ac:dyDescent="0.25">
      <c r="E519" s="3"/>
      <c r="F519" s="3"/>
    </row>
    <row r="520" spans="5:6" x14ac:dyDescent="0.25">
      <c r="E520" s="3"/>
      <c r="F520" s="3"/>
    </row>
    <row r="521" spans="5:6" x14ac:dyDescent="0.25">
      <c r="E521" s="3"/>
      <c r="F521" s="3"/>
    </row>
    <row r="522" spans="5:6" x14ac:dyDescent="0.25">
      <c r="E522" s="3"/>
      <c r="F522" s="3"/>
    </row>
    <row r="523" spans="5:6" x14ac:dyDescent="0.25">
      <c r="E523" s="3"/>
      <c r="F523" s="3"/>
    </row>
    <row r="524" spans="5:6" x14ac:dyDescent="0.25">
      <c r="E524" s="3"/>
      <c r="F524" s="3"/>
    </row>
    <row r="525" spans="5:6" x14ac:dyDescent="0.25">
      <c r="E525" s="3"/>
      <c r="F525" s="3"/>
    </row>
    <row r="526" spans="5:6" x14ac:dyDescent="0.25">
      <c r="E526" s="3"/>
      <c r="F526" s="3"/>
    </row>
    <row r="527" spans="5:6" x14ac:dyDescent="0.25">
      <c r="E527" s="3"/>
      <c r="F527" s="3"/>
    </row>
    <row r="528" spans="5:6" x14ac:dyDescent="0.25">
      <c r="E528" s="3"/>
      <c r="F528" s="3"/>
    </row>
    <row r="529" spans="5:6" x14ac:dyDescent="0.25">
      <c r="E529" s="3"/>
      <c r="F529" s="3"/>
    </row>
    <row r="530" spans="5:6" x14ac:dyDescent="0.25">
      <c r="E530" s="3"/>
      <c r="F530" s="3"/>
    </row>
    <row r="531" spans="5:6" x14ac:dyDescent="0.25">
      <c r="E531" s="3"/>
      <c r="F531" s="3"/>
    </row>
    <row r="532" spans="5:6" x14ac:dyDescent="0.25">
      <c r="E532" s="3"/>
      <c r="F532" s="3"/>
    </row>
    <row r="533" spans="5:6" x14ac:dyDescent="0.25">
      <c r="E533" s="3"/>
      <c r="F533" s="3"/>
    </row>
    <row r="534" spans="5:6" x14ac:dyDescent="0.25">
      <c r="E534" s="3"/>
      <c r="F534" s="3"/>
    </row>
    <row r="535" spans="5:6" x14ac:dyDescent="0.25">
      <c r="E535" s="3"/>
      <c r="F535" s="3"/>
    </row>
    <row r="536" spans="5:6" x14ac:dyDescent="0.25">
      <c r="E536" s="3"/>
      <c r="F536" s="3"/>
    </row>
    <row r="537" spans="5:6" x14ac:dyDescent="0.25">
      <c r="E537" s="3"/>
      <c r="F537" s="3"/>
    </row>
    <row r="538" spans="5:6" x14ac:dyDescent="0.25">
      <c r="E538" s="3"/>
      <c r="F538" s="3"/>
    </row>
    <row r="539" spans="5:6" x14ac:dyDescent="0.25">
      <c r="E539" s="3"/>
      <c r="F539" s="3"/>
    </row>
    <row r="540" spans="5:6" x14ac:dyDescent="0.25">
      <c r="E540" s="3"/>
      <c r="F540" s="3"/>
    </row>
    <row r="541" spans="5:6" x14ac:dyDescent="0.25">
      <c r="E541" s="3"/>
      <c r="F541" s="3"/>
    </row>
    <row r="542" spans="5:6" x14ac:dyDescent="0.25">
      <c r="E542" s="3"/>
      <c r="F542" s="3"/>
    </row>
    <row r="543" spans="5:6" x14ac:dyDescent="0.25">
      <c r="E543" s="3"/>
      <c r="F543" s="3"/>
    </row>
    <row r="544" spans="5:6" x14ac:dyDescent="0.25">
      <c r="E544" s="3"/>
      <c r="F544" s="3"/>
    </row>
    <row r="545" spans="5:6" x14ac:dyDescent="0.25">
      <c r="E545" s="3"/>
      <c r="F545" s="3"/>
    </row>
    <row r="546" spans="5:6" x14ac:dyDescent="0.25">
      <c r="E546" s="3"/>
      <c r="F546" s="3"/>
    </row>
    <row r="547" spans="5:6" x14ac:dyDescent="0.25">
      <c r="E547" s="3"/>
      <c r="F547" s="3"/>
    </row>
    <row r="548" spans="5:6" x14ac:dyDescent="0.25">
      <c r="E548" s="3"/>
      <c r="F548" s="3"/>
    </row>
    <row r="549" spans="5:6" x14ac:dyDescent="0.25">
      <c r="E549" s="3"/>
      <c r="F549" s="3"/>
    </row>
    <row r="550" spans="5:6" x14ac:dyDescent="0.25">
      <c r="E550" s="3"/>
      <c r="F550" s="3"/>
    </row>
    <row r="551" spans="5:6" x14ac:dyDescent="0.25">
      <c r="E551" s="3"/>
      <c r="F551" s="3"/>
    </row>
    <row r="552" spans="5:6" x14ac:dyDescent="0.25">
      <c r="E552" s="3"/>
      <c r="F552" s="3"/>
    </row>
    <row r="553" spans="5:6" x14ac:dyDescent="0.25">
      <c r="E553" s="3"/>
      <c r="F553" s="3"/>
    </row>
    <row r="554" spans="5:6" x14ac:dyDescent="0.25">
      <c r="E554" s="3"/>
      <c r="F554" s="3"/>
    </row>
    <row r="555" spans="5:6" x14ac:dyDescent="0.25">
      <c r="E555" s="3"/>
      <c r="F555" s="3"/>
    </row>
    <row r="556" spans="5:6" x14ac:dyDescent="0.25">
      <c r="E556" s="3"/>
      <c r="F556" s="3"/>
    </row>
    <row r="557" spans="5:6" x14ac:dyDescent="0.25">
      <c r="E557" s="3"/>
      <c r="F557" s="3"/>
    </row>
    <row r="558" spans="5:6" x14ac:dyDescent="0.25">
      <c r="E558" s="3"/>
      <c r="F558" s="3"/>
    </row>
    <row r="559" spans="5:6" x14ac:dyDescent="0.25">
      <c r="E559" s="3"/>
      <c r="F559" s="3"/>
    </row>
    <row r="560" spans="5:6" x14ac:dyDescent="0.25">
      <c r="E560" s="3"/>
      <c r="F560" s="3"/>
    </row>
    <row r="561" spans="5:6" x14ac:dyDescent="0.25">
      <c r="E561" s="3"/>
      <c r="F561" s="3"/>
    </row>
    <row r="562" spans="5:6" x14ac:dyDescent="0.25">
      <c r="E562" s="3"/>
      <c r="F562" s="3"/>
    </row>
    <row r="563" spans="5:6" x14ac:dyDescent="0.25">
      <c r="E563" s="3"/>
      <c r="F563" s="3"/>
    </row>
    <row r="564" spans="5:6" x14ac:dyDescent="0.25">
      <c r="E564" s="3"/>
      <c r="F564" s="3"/>
    </row>
    <row r="565" spans="5:6" x14ac:dyDescent="0.25">
      <c r="E565" s="3"/>
      <c r="F565" s="3"/>
    </row>
    <row r="566" spans="5:6" x14ac:dyDescent="0.25">
      <c r="E566" s="3"/>
      <c r="F566" s="3"/>
    </row>
    <row r="567" spans="5:6" x14ac:dyDescent="0.25">
      <c r="E567" s="3"/>
      <c r="F567" s="3"/>
    </row>
    <row r="568" spans="5:6" x14ac:dyDescent="0.25">
      <c r="E568" s="3"/>
      <c r="F568" s="3"/>
    </row>
    <row r="569" spans="5:6" x14ac:dyDescent="0.25">
      <c r="E569" s="3"/>
      <c r="F569" s="3"/>
    </row>
    <row r="570" spans="5:6" x14ac:dyDescent="0.25">
      <c r="E570" s="3"/>
      <c r="F570" s="3"/>
    </row>
    <row r="571" spans="5:6" x14ac:dyDescent="0.25">
      <c r="E571" s="3"/>
      <c r="F571" s="3"/>
    </row>
    <row r="572" spans="5:6" x14ac:dyDescent="0.25">
      <c r="E572" s="3"/>
      <c r="F572" s="3"/>
    </row>
    <row r="573" spans="5:6" x14ac:dyDescent="0.25">
      <c r="E573" s="3"/>
      <c r="F573" s="3"/>
    </row>
    <row r="574" spans="5:6" x14ac:dyDescent="0.25">
      <c r="E574" s="3"/>
      <c r="F574" s="3"/>
    </row>
    <row r="575" spans="5:6" x14ac:dyDescent="0.25">
      <c r="E575" s="3"/>
      <c r="F575" s="3"/>
    </row>
    <row r="576" spans="5:6" x14ac:dyDescent="0.25">
      <c r="E576" s="3"/>
      <c r="F576" s="3"/>
    </row>
    <row r="577" spans="5:6" x14ac:dyDescent="0.25">
      <c r="E577" s="3"/>
      <c r="F577" s="3"/>
    </row>
    <row r="578" spans="5:6" x14ac:dyDescent="0.25">
      <c r="E578" s="3"/>
      <c r="F578" s="3"/>
    </row>
    <row r="579" spans="5:6" x14ac:dyDescent="0.25">
      <c r="E579" s="3"/>
      <c r="F579" s="3"/>
    </row>
    <row r="580" spans="5:6" x14ac:dyDescent="0.25">
      <c r="E580" s="3"/>
      <c r="F580" s="3"/>
    </row>
    <row r="581" spans="5:6" x14ac:dyDescent="0.25">
      <c r="E581" s="3"/>
      <c r="F581" s="3"/>
    </row>
    <row r="582" spans="5:6" x14ac:dyDescent="0.25">
      <c r="E582" s="3"/>
      <c r="F582" s="3"/>
    </row>
    <row r="583" spans="5:6" x14ac:dyDescent="0.25">
      <c r="E583" s="3"/>
      <c r="F583" s="3"/>
    </row>
    <row r="584" spans="5:6" x14ac:dyDescent="0.25">
      <c r="E584" s="3"/>
      <c r="F584" s="3"/>
    </row>
    <row r="585" spans="5:6" x14ac:dyDescent="0.25">
      <c r="E585" s="3"/>
      <c r="F585" s="3"/>
    </row>
    <row r="586" spans="5:6" x14ac:dyDescent="0.25">
      <c r="E586" s="3"/>
      <c r="F586" s="3"/>
    </row>
    <row r="587" spans="5:6" x14ac:dyDescent="0.25">
      <c r="E587" s="3"/>
      <c r="F587" s="3"/>
    </row>
    <row r="588" spans="5:6" x14ac:dyDescent="0.25">
      <c r="E588" s="3"/>
      <c r="F588" s="3"/>
    </row>
    <row r="589" spans="5:6" x14ac:dyDescent="0.25">
      <c r="E589" s="3"/>
      <c r="F589" s="3"/>
    </row>
    <row r="590" spans="5:6" x14ac:dyDescent="0.25">
      <c r="E590" s="3"/>
      <c r="F590" s="3"/>
    </row>
    <row r="591" spans="5:6" x14ac:dyDescent="0.25">
      <c r="E591" s="3"/>
      <c r="F591" s="3"/>
    </row>
    <row r="592" spans="5:6" x14ac:dyDescent="0.25">
      <c r="E592" s="3"/>
      <c r="F592" s="3"/>
    </row>
    <row r="593" spans="5:6" x14ac:dyDescent="0.25">
      <c r="E593" s="3"/>
      <c r="F593" s="3"/>
    </row>
    <row r="594" spans="5:6" x14ac:dyDescent="0.25">
      <c r="E594" s="3"/>
      <c r="F594" s="3"/>
    </row>
    <row r="595" spans="5:6" x14ac:dyDescent="0.25">
      <c r="E595" s="3"/>
      <c r="F595" s="3"/>
    </row>
    <row r="596" spans="5:6" x14ac:dyDescent="0.25">
      <c r="E596" s="3"/>
      <c r="F596" s="3"/>
    </row>
    <row r="597" spans="5:6" x14ac:dyDescent="0.25">
      <c r="E597" s="3"/>
      <c r="F597" s="3"/>
    </row>
    <row r="598" spans="5:6" x14ac:dyDescent="0.25">
      <c r="E598" s="3"/>
      <c r="F598" s="3"/>
    </row>
    <row r="599" spans="5:6" x14ac:dyDescent="0.25">
      <c r="E599" s="3"/>
      <c r="F599" s="3"/>
    </row>
    <row r="600" spans="5:6" x14ac:dyDescent="0.25">
      <c r="E600" s="3"/>
      <c r="F600" s="3"/>
    </row>
    <row r="601" spans="5:6" x14ac:dyDescent="0.25">
      <c r="E601" s="3"/>
      <c r="F601" s="3"/>
    </row>
    <row r="602" spans="5:6" x14ac:dyDescent="0.25">
      <c r="E602" s="3"/>
      <c r="F602" s="3"/>
    </row>
    <row r="603" spans="5:6" x14ac:dyDescent="0.25">
      <c r="E603" s="3"/>
      <c r="F603" s="3"/>
    </row>
    <row r="604" spans="5:6" x14ac:dyDescent="0.25">
      <c r="E604" s="3"/>
      <c r="F604" s="3"/>
    </row>
    <row r="605" spans="5:6" x14ac:dyDescent="0.25">
      <c r="E605" s="3"/>
      <c r="F605" s="3"/>
    </row>
    <row r="606" spans="5:6" x14ac:dyDescent="0.25">
      <c r="E606" s="3"/>
      <c r="F606" s="3"/>
    </row>
    <row r="607" spans="5:6" x14ac:dyDescent="0.25">
      <c r="E607" s="3"/>
      <c r="F607" s="3"/>
    </row>
    <row r="608" spans="5:6" x14ac:dyDescent="0.25">
      <c r="E608" s="3"/>
      <c r="F608" s="3"/>
    </row>
    <row r="609" spans="5:6" x14ac:dyDescent="0.25">
      <c r="E609" s="3"/>
      <c r="F609" s="3"/>
    </row>
    <row r="610" spans="5:6" x14ac:dyDescent="0.25">
      <c r="E610" s="3"/>
      <c r="F610" s="3"/>
    </row>
    <row r="611" spans="5:6" x14ac:dyDescent="0.25">
      <c r="E611" s="3"/>
      <c r="F611" s="3"/>
    </row>
    <row r="612" spans="5:6" x14ac:dyDescent="0.25">
      <c r="E612" s="3"/>
      <c r="F612" s="3"/>
    </row>
    <row r="613" spans="5:6" x14ac:dyDescent="0.25">
      <c r="E613" s="3"/>
      <c r="F613" s="3"/>
    </row>
    <row r="614" spans="5:6" x14ac:dyDescent="0.25">
      <c r="E614" s="3"/>
      <c r="F614" s="3"/>
    </row>
    <row r="615" spans="5:6" x14ac:dyDescent="0.25">
      <c r="E615" s="3"/>
      <c r="F615" s="3"/>
    </row>
    <row r="616" spans="5:6" x14ac:dyDescent="0.25">
      <c r="E616" s="3"/>
      <c r="F616" s="3"/>
    </row>
    <row r="617" spans="5:6" x14ac:dyDescent="0.25">
      <c r="E617" s="3"/>
      <c r="F617" s="3"/>
    </row>
    <row r="618" spans="5:6" x14ac:dyDescent="0.25">
      <c r="E618" s="3"/>
      <c r="F618" s="3"/>
    </row>
    <row r="619" spans="5:6" x14ac:dyDescent="0.25">
      <c r="E619" s="3"/>
      <c r="F619" s="3"/>
    </row>
    <row r="620" spans="5:6" x14ac:dyDescent="0.25">
      <c r="E620" s="3"/>
      <c r="F620" s="3"/>
    </row>
    <row r="621" spans="5:6" x14ac:dyDescent="0.25">
      <c r="E621" s="3"/>
      <c r="F621" s="3"/>
    </row>
    <row r="622" spans="5:6" x14ac:dyDescent="0.25">
      <c r="E622" s="3"/>
      <c r="F622" s="3"/>
    </row>
    <row r="623" spans="5:6" x14ac:dyDescent="0.25">
      <c r="E623" s="3"/>
      <c r="F623" s="3"/>
    </row>
    <row r="624" spans="5:6" x14ac:dyDescent="0.25">
      <c r="E624" s="3"/>
      <c r="F624" s="3"/>
    </row>
    <row r="625" spans="5:6" x14ac:dyDescent="0.25">
      <c r="E625" s="3"/>
      <c r="F625" s="3"/>
    </row>
    <row r="626" spans="5:6" x14ac:dyDescent="0.25">
      <c r="E626" s="3"/>
      <c r="F626" s="3"/>
    </row>
    <row r="627" spans="5:6" x14ac:dyDescent="0.25">
      <c r="E627" s="3"/>
      <c r="F627" s="3"/>
    </row>
    <row r="628" spans="5:6" x14ac:dyDescent="0.25">
      <c r="E628" s="3"/>
      <c r="F628" s="3"/>
    </row>
    <row r="629" spans="5:6" x14ac:dyDescent="0.25">
      <c r="E629" s="3"/>
      <c r="F629" s="3"/>
    </row>
    <row r="630" spans="5:6" x14ac:dyDescent="0.25">
      <c r="E630" s="3"/>
      <c r="F630" s="3"/>
    </row>
    <row r="631" spans="5:6" x14ac:dyDescent="0.25">
      <c r="E631" s="3"/>
      <c r="F631" s="3"/>
    </row>
    <row r="632" spans="5:6" x14ac:dyDescent="0.25">
      <c r="E632" s="3"/>
      <c r="F632" s="3"/>
    </row>
    <row r="633" spans="5:6" x14ac:dyDescent="0.25">
      <c r="E633" s="3"/>
      <c r="F633" s="3"/>
    </row>
    <row r="634" spans="5:6" x14ac:dyDescent="0.25">
      <c r="E634" s="3"/>
      <c r="F634" s="3"/>
    </row>
    <row r="635" spans="5:6" x14ac:dyDescent="0.25">
      <c r="E635" s="3"/>
      <c r="F635" s="3"/>
    </row>
    <row r="636" spans="5:6" x14ac:dyDescent="0.25">
      <c r="E636" s="3"/>
      <c r="F636" s="3"/>
    </row>
    <row r="637" spans="5:6" x14ac:dyDescent="0.25">
      <c r="E637" s="3"/>
      <c r="F637" s="3"/>
    </row>
    <row r="638" spans="5:6" x14ac:dyDescent="0.25">
      <c r="E638" s="3"/>
      <c r="F638" s="3"/>
    </row>
    <row r="639" spans="5:6" x14ac:dyDescent="0.25">
      <c r="E639" s="3"/>
      <c r="F639" s="3"/>
    </row>
    <row r="640" spans="5:6" x14ac:dyDescent="0.25">
      <c r="E640" s="3"/>
      <c r="F640" s="3"/>
    </row>
    <row r="641" spans="5:6" x14ac:dyDescent="0.25">
      <c r="E641" s="3"/>
      <c r="F641" s="3"/>
    </row>
    <row r="642" spans="5:6" x14ac:dyDescent="0.25">
      <c r="E642" s="3"/>
      <c r="F642" s="3"/>
    </row>
    <row r="643" spans="5:6" x14ac:dyDescent="0.25">
      <c r="E643" s="3"/>
      <c r="F643" s="3"/>
    </row>
    <row r="644" spans="5:6" x14ac:dyDescent="0.25">
      <c r="E644" s="3"/>
      <c r="F644" s="3"/>
    </row>
    <row r="645" spans="5:6" x14ac:dyDescent="0.25">
      <c r="E645" s="3"/>
      <c r="F645" s="3"/>
    </row>
    <row r="646" spans="5:6" x14ac:dyDescent="0.25">
      <c r="E646" s="3"/>
      <c r="F646" s="3"/>
    </row>
    <row r="647" spans="5:6" x14ac:dyDescent="0.25">
      <c r="E647" s="3"/>
      <c r="F647" s="3"/>
    </row>
    <row r="648" spans="5:6" x14ac:dyDescent="0.25">
      <c r="E648" s="3"/>
      <c r="F648" s="3"/>
    </row>
    <row r="649" spans="5:6" x14ac:dyDescent="0.25">
      <c r="E649" s="3"/>
      <c r="F649" s="3"/>
    </row>
    <row r="650" spans="5:6" x14ac:dyDescent="0.25">
      <c r="E650" s="3"/>
      <c r="F650" s="3"/>
    </row>
    <row r="651" spans="5:6" x14ac:dyDescent="0.25">
      <c r="E651" s="3"/>
      <c r="F651" s="3"/>
    </row>
    <row r="652" spans="5:6" x14ac:dyDescent="0.25">
      <c r="E652" s="3"/>
      <c r="F652" s="3"/>
    </row>
    <row r="653" spans="5:6" x14ac:dyDescent="0.25">
      <c r="E653" s="3"/>
      <c r="F653" s="3"/>
    </row>
    <row r="654" spans="5:6" x14ac:dyDescent="0.25">
      <c r="E654" s="3"/>
      <c r="F654" s="3"/>
    </row>
    <row r="655" spans="5:6" x14ac:dyDescent="0.25">
      <c r="E655" s="3"/>
      <c r="F655" s="3"/>
    </row>
    <row r="656" spans="5:6" x14ac:dyDescent="0.25">
      <c r="E656" s="3"/>
      <c r="F656" s="3"/>
    </row>
    <row r="657" spans="5:6" x14ac:dyDescent="0.25">
      <c r="E657" s="3"/>
      <c r="F657" s="3"/>
    </row>
    <row r="658" spans="5:6" x14ac:dyDescent="0.25">
      <c r="E658" s="3"/>
      <c r="F658" s="3"/>
    </row>
    <row r="659" spans="5:6" x14ac:dyDescent="0.25">
      <c r="E659" s="3"/>
      <c r="F659" s="3"/>
    </row>
    <row r="660" spans="5:6" x14ac:dyDescent="0.25">
      <c r="E660" s="3"/>
      <c r="F660" s="3"/>
    </row>
    <row r="661" spans="5:6" x14ac:dyDescent="0.25">
      <c r="E661" s="3"/>
      <c r="F661" s="3"/>
    </row>
    <row r="662" spans="5:6" x14ac:dyDescent="0.25">
      <c r="E662" s="3"/>
      <c r="F662" s="3"/>
    </row>
    <row r="663" spans="5:6" x14ac:dyDescent="0.25">
      <c r="E663" s="3"/>
      <c r="F663" s="3"/>
    </row>
    <row r="664" spans="5:6" x14ac:dyDescent="0.25">
      <c r="E664" s="3"/>
      <c r="F664" s="3"/>
    </row>
    <row r="665" spans="5:6" x14ac:dyDescent="0.25">
      <c r="E665" s="3"/>
      <c r="F665" s="3"/>
    </row>
    <row r="666" spans="5:6" x14ac:dyDescent="0.25">
      <c r="E666" s="3"/>
      <c r="F666" s="3"/>
    </row>
    <row r="667" spans="5:6" x14ac:dyDescent="0.25">
      <c r="E667" s="3"/>
      <c r="F667" s="3"/>
    </row>
    <row r="668" spans="5:6" x14ac:dyDescent="0.25">
      <c r="E668" s="3"/>
      <c r="F668" s="3"/>
    </row>
    <row r="669" spans="5:6" x14ac:dyDescent="0.25">
      <c r="E669" s="3"/>
      <c r="F669" s="3"/>
    </row>
    <row r="670" spans="5:6" x14ac:dyDescent="0.25">
      <c r="E670" s="3"/>
      <c r="F670" s="3"/>
    </row>
    <row r="671" spans="5:6" x14ac:dyDescent="0.25">
      <c r="E671" s="3"/>
      <c r="F671" s="3"/>
    </row>
    <row r="672" spans="5:6" x14ac:dyDescent="0.25">
      <c r="E672" s="3"/>
      <c r="F672" s="3"/>
    </row>
    <row r="673" spans="5:6" x14ac:dyDescent="0.25">
      <c r="E673" s="3"/>
      <c r="F673" s="3"/>
    </row>
    <row r="674" spans="5:6" x14ac:dyDescent="0.25">
      <c r="E674" s="3"/>
      <c r="F674" s="3"/>
    </row>
    <row r="675" spans="5:6" x14ac:dyDescent="0.25">
      <c r="E675" s="3"/>
      <c r="F675" s="3"/>
    </row>
    <row r="676" spans="5:6" x14ac:dyDescent="0.25">
      <c r="E676" s="3"/>
      <c r="F676" s="3"/>
    </row>
    <row r="677" spans="5:6" x14ac:dyDescent="0.25">
      <c r="E677" s="3"/>
      <c r="F677" s="3"/>
    </row>
    <row r="678" spans="5:6" x14ac:dyDescent="0.25">
      <c r="E678" s="3"/>
      <c r="F678" s="3"/>
    </row>
    <row r="679" spans="5:6" x14ac:dyDescent="0.25">
      <c r="E679" s="3"/>
      <c r="F679" s="3"/>
    </row>
    <row r="680" spans="5:6" x14ac:dyDescent="0.25">
      <c r="E680" s="3"/>
      <c r="F680" s="3"/>
    </row>
    <row r="681" spans="5:6" x14ac:dyDescent="0.25">
      <c r="E681" s="3"/>
      <c r="F681" s="3"/>
    </row>
    <row r="682" spans="5:6" x14ac:dyDescent="0.25">
      <c r="E682" s="3"/>
      <c r="F682" s="3"/>
    </row>
    <row r="683" spans="5:6" x14ac:dyDescent="0.25">
      <c r="E683" s="3"/>
      <c r="F683" s="3"/>
    </row>
    <row r="684" spans="5:6" x14ac:dyDescent="0.25">
      <c r="E684" s="3"/>
      <c r="F684" s="3"/>
    </row>
    <row r="685" spans="5:6" x14ac:dyDescent="0.25">
      <c r="E685" s="3"/>
      <c r="F685" s="3"/>
    </row>
    <row r="686" spans="5:6" x14ac:dyDescent="0.25">
      <c r="E686" s="3"/>
      <c r="F686" s="3"/>
    </row>
    <row r="687" spans="5:6" x14ac:dyDescent="0.25">
      <c r="E687" s="3"/>
      <c r="F687" s="3"/>
    </row>
    <row r="688" spans="5:6" x14ac:dyDescent="0.25">
      <c r="E688" s="3"/>
      <c r="F688" s="3"/>
    </row>
    <row r="689" spans="5:6" x14ac:dyDescent="0.25">
      <c r="E689" s="3"/>
      <c r="F689" s="3"/>
    </row>
    <row r="690" spans="5:6" x14ac:dyDescent="0.25">
      <c r="E690" s="3"/>
      <c r="F690" s="3"/>
    </row>
    <row r="691" spans="5:6" x14ac:dyDescent="0.25">
      <c r="E691" s="3"/>
      <c r="F691" s="3"/>
    </row>
    <row r="692" spans="5:6" x14ac:dyDescent="0.25">
      <c r="E692" s="3"/>
      <c r="F692" s="3"/>
    </row>
    <row r="693" spans="5:6" x14ac:dyDescent="0.25">
      <c r="E693" s="3"/>
      <c r="F693" s="3"/>
    </row>
    <row r="694" spans="5:6" x14ac:dyDescent="0.25">
      <c r="E694" s="3"/>
      <c r="F694" s="3"/>
    </row>
    <row r="695" spans="5:6" x14ac:dyDescent="0.25">
      <c r="E695" s="3"/>
      <c r="F695" s="3"/>
    </row>
    <row r="696" spans="5:6" x14ac:dyDescent="0.25">
      <c r="E696" s="3"/>
      <c r="F696" s="3"/>
    </row>
    <row r="697" spans="5:6" x14ac:dyDescent="0.25">
      <c r="E697" s="3"/>
      <c r="F697" s="3"/>
    </row>
    <row r="698" spans="5:6" x14ac:dyDescent="0.25">
      <c r="E698" s="3"/>
      <c r="F698" s="3"/>
    </row>
    <row r="699" spans="5:6" x14ac:dyDescent="0.25">
      <c r="E699" s="3"/>
      <c r="F699" s="3"/>
    </row>
    <row r="700" spans="5:6" x14ac:dyDescent="0.25">
      <c r="E700" s="3"/>
      <c r="F700" s="3"/>
    </row>
    <row r="701" spans="5:6" x14ac:dyDescent="0.25">
      <c r="E701" s="3"/>
      <c r="F701" s="3"/>
    </row>
    <row r="702" spans="5:6" x14ac:dyDescent="0.25">
      <c r="E702" s="3"/>
      <c r="F702" s="3"/>
    </row>
    <row r="703" spans="5:6" x14ac:dyDescent="0.25">
      <c r="E703" s="3"/>
      <c r="F703" s="3"/>
    </row>
    <row r="704" spans="5:6" x14ac:dyDescent="0.25">
      <c r="E704" s="3"/>
      <c r="F704" s="3"/>
    </row>
    <row r="705" spans="5:6" x14ac:dyDescent="0.25">
      <c r="E705" s="3"/>
      <c r="F705" s="3"/>
    </row>
    <row r="706" spans="5:6" x14ac:dyDescent="0.25">
      <c r="E706" s="3"/>
      <c r="F706" s="3"/>
    </row>
    <row r="707" spans="5:6" x14ac:dyDescent="0.25">
      <c r="E707" s="3"/>
      <c r="F707" s="3"/>
    </row>
    <row r="708" spans="5:6" x14ac:dyDescent="0.25">
      <c r="E708" s="3"/>
      <c r="F708" s="3"/>
    </row>
    <row r="709" spans="5:6" x14ac:dyDescent="0.25">
      <c r="E709" s="3"/>
      <c r="F709" s="3"/>
    </row>
    <row r="710" spans="5:6" x14ac:dyDescent="0.25">
      <c r="E710" s="3"/>
      <c r="F710" s="3"/>
    </row>
    <row r="711" spans="5:6" x14ac:dyDescent="0.25">
      <c r="E711" s="3"/>
      <c r="F711" s="3"/>
    </row>
    <row r="712" spans="5:6" x14ac:dyDescent="0.25">
      <c r="E712" s="3"/>
      <c r="F712" s="3"/>
    </row>
    <row r="713" spans="5:6" x14ac:dyDescent="0.25">
      <c r="E713" s="3"/>
      <c r="F713" s="3"/>
    </row>
    <row r="714" spans="5:6" x14ac:dyDescent="0.25">
      <c r="E714" s="3"/>
      <c r="F714" s="3"/>
    </row>
    <row r="715" spans="5:6" x14ac:dyDescent="0.25">
      <c r="E715" s="3"/>
      <c r="F715" s="3"/>
    </row>
    <row r="716" spans="5:6" x14ac:dyDescent="0.25">
      <c r="E716" s="3"/>
      <c r="F716" s="3"/>
    </row>
    <row r="717" spans="5:6" x14ac:dyDescent="0.25">
      <c r="E717" s="3"/>
      <c r="F717" s="3"/>
    </row>
    <row r="718" spans="5:6" x14ac:dyDescent="0.25">
      <c r="E718" s="3"/>
      <c r="F718" s="3"/>
    </row>
    <row r="719" spans="5:6" x14ac:dyDescent="0.25">
      <c r="E719" s="3"/>
      <c r="F719" s="3"/>
    </row>
    <row r="720" spans="5:6" x14ac:dyDescent="0.25">
      <c r="E720" s="3"/>
      <c r="F720" s="3"/>
    </row>
    <row r="721" spans="5:6" x14ac:dyDescent="0.25">
      <c r="E721" s="3"/>
      <c r="F721" s="3"/>
    </row>
    <row r="722" spans="5:6" x14ac:dyDescent="0.25">
      <c r="E722" s="3"/>
      <c r="F722" s="3"/>
    </row>
    <row r="723" spans="5:6" x14ac:dyDescent="0.25">
      <c r="E723" s="3"/>
      <c r="F723" s="3"/>
    </row>
    <row r="724" spans="5:6" x14ac:dyDescent="0.25">
      <c r="E724" s="3"/>
      <c r="F724" s="3"/>
    </row>
    <row r="725" spans="5:6" x14ac:dyDescent="0.25">
      <c r="E725" s="3"/>
      <c r="F725" s="3"/>
    </row>
    <row r="726" spans="5:6" x14ac:dyDescent="0.25">
      <c r="E726" s="3"/>
      <c r="F726" s="3"/>
    </row>
    <row r="727" spans="5:6" x14ac:dyDescent="0.25">
      <c r="E727" s="3"/>
      <c r="F727" s="3"/>
    </row>
    <row r="728" spans="5:6" x14ac:dyDescent="0.25">
      <c r="E728" s="3"/>
      <c r="F728" s="3"/>
    </row>
    <row r="729" spans="5:6" x14ac:dyDescent="0.25">
      <c r="E729" s="3"/>
      <c r="F729" s="3"/>
    </row>
    <row r="730" spans="5:6" x14ac:dyDescent="0.25">
      <c r="E730" s="3"/>
      <c r="F730" s="3"/>
    </row>
    <row r="731" spans="5:6" x14ac:dyDescent="0.25">
      <c r="E731" s="3"/>
      <c r="F731" s="3"/>
    </row>
    <row r="732" spans="5:6" x14ac:dyDescent="0.25">
      <c r="E732" s="3"/>
      <c r="F732" s="3"/>
    </row>
    <row r="733" spans="5:6" x14ac:dyDescent="0.25">
      <c r="E733" s="3"/>
      <c r="F733" s="3"/>
    </row>
    <row r="734" spans="5:6" x14ac:dyDescent="0.25">
      <c r="E734" s="3"/>
      <c r="F734" s="3"/>
    </row>
    <row r="735" spans="5:6" x14ac:dyDescent="0.25">
      <c r="E735" s="3"/>
      <c r="F735" s="3"/>
    </row>
    <row r="736" spans="5:6" x14ac:dyDescent="0.25">
      <c r="E736" s="3"/>
      <c r="F736" s="3"/>
    </row>
    <row r="737" spans="5:6" x14ac:dyDescent="0.25">
      <c r="E737" s="3"/>
      <c r="F737" s="3"/>
    </row>
    <row r="738" spans="5:6" x14ac:dyDescent="0.25">
      <c r="E738" s="3"/>
      <c r="F738" s="3"/>
    </row>
    <row r="739" spans="5:6" x14ac:dyDescent="0.25">
      <c r="E739" s="3"/>
      <c r="F739" s="3"/>
    </row>
    <row r="740" spans="5:6" x14ac:dyDescent="0.25">
      <c r="E740" s="3"/>
      <c r="F740" s="3"/>
    </row>
    <row r="741" spans="5:6" x14ac:dyDescent="0.25">
      <c r="E741" s="3"/>
      <c r="F741" s="3"/>
    </row>
    <row r="742" spans="5:6" x14ac:dyDescent="0.25">
      <c r="E742" s="3"/>
      <c r="F742" s="3"/>
    </row>
    <row r="743" spans="5:6" x14ac:dyDescent="0.25">
      <c r="E743" s="3"/>
      <c r="F743" s="3"/>
    </row>
    <row r="744" spans="5:6" x14ac:dyDescent="0.25">
      <c r="E744" s="3"/>
      <c r="F744" s="3"/>
    </row>
    <row r="745" spans="5:6" x14ac:dyDescent="0.25">
      <c r="E745" s="3"/>
      <c r="F745" s="3"/>
    </row>
    <row r="746" spans="5:6" x14ac:dyDescent="0.25">
      <c r="E746" s="3"/>
      <c r="F746" s="3"/>
    </row>
    <row r="747" spans="5:6" x14ac:dyDescent="0.25">
      <c r="E747" s="3"/>
      <c r="F747" s="3"/>
    </row>
    <row r="748" spans="5:6" x14ac:dyDescent="0.25">
      <c r="E748" s="3"/>
      <c r="F748" s="3"/>
    </row>
    <row r="749" spans="5:6" x14ac:dyDescent="0.25">
      <c r="E749" s="3"/>
      <c r="F749" s="3"/>
    </row>
    <row r="750" spans="5:6" x14ac:dyDescent="0.25">
      <c r="E750" s="3"/>
      <c r="F750" s="3"/>
    </row>
    <row r="751" spans="5:6" x14ac:dyDescent="0.25">
      <c r="E751" s="3"/>
      <c r="F751" s="3"/>
    </row>
    <row r="752" spans="5:6" x14ac:dyDescent="0.25">
      <c r="E752" s="3"/>
      <c r="F752" s="3"/>
    </row>
    <row r="753" spans="5:6" x14ac:dyDescent="0.25">
      <c r="E753" s="3"/>
      <c r="F753" s="3"/>
    </row>
    <row r="754" spans="5:6" x14ac:dyDescent="0.25">
      <c r="E754" s="3"/>
      <c r="F754" s="3"/>
    </row>
    <row r="755" spans="5:6" x14ac:dyDescent="0.25">
      <c r="E755" s="3"/>
      <c r="F755" s="3"/>
    </row>
    <row r="756" spans="5:6" x14ac:dyDescent="0.25">
      <c r="E756" s="3"/>
      <c r="F756" s="3"/>
    </row>
    <row r="757" spans="5:6" x14ac:dyDescent="0.25">
      <c r="E757" s="3"/>
      <c r="F757" s="3"/>
    </row>
    <row r="758" spans="5:6" x14ac:dyDescent="0.25">
      <c r="E758" s="3"/>
      <c r="F758" s="3"/>
    </row>
    <row r="759" spans="5:6" x14ac:dyDescent="0.25">
      <c r="E759" s="3"/>
      <c r="F759" s="3"/>
    </row>
    <row r="760" spans="5:6" x14ac:dyDescent="0.25">
      <c r="E760" s="3"/>
      <c r="F760" s="3"/>
    </row>
    <row r="761" spans="5:6" x14ac:dyDescent="0.25">
      <c r="E761" s="3"/>
      <c r="F761" s="3"/>
    </row>
    <row r="762" spans="5:6" x14ac:dyDescent="0.25">
      <c r="E762" s="3"/>
      <c r="F762" s="3"/>
    </row>
    <row r="763" spans="5:6" x14ac:dyDescent="0.25">
      <c r="E763" s="3"/>
      <c r="F763" s="3"/>
    </row>
    <row r="764" spans="5:6" x14ac:dyDescent="0.25">
      <c r="E764" s="3"/>
      <c r="F764" s="3"/>
    </row>
    <row r="765" spans="5:6" x14ac:dyDescent="0.25">
      <c r="E765" s="3"/>
      <c r="F765" s="3"/>
    </row>
    <row r="766" spans="5:6" x14ac:dyDescent="0.25">
      <c r="E766" s="3"/>
      <c r="F766" s="3"/>
    </row>
    <row r="767" spans="5:6" x14ac:dyDescent="0.25">
      <c r="E767" s="3"/>
      <c r="F767" s="3"/>
    </row>
    <row r="768" spans="5:6" x14ac:dyDescent="0.25">
      <c r="E768" s="3"/>
      <c r="F768" s="3"/>
    </row>
    <row r="769" spans="5:6" x14ac:dyDescent="0.25">
      <c r="E769" s="3"/>
      <c r="F769" s="3"/>
    </row>
    <row r="770" spans="5:6" x14ac:dyDescent="0.25">
      <c r="E770" s="3"/>
      <c r="F770" s="3"/>
    </row>
    <row r="771" spans="5:6" x14ac:dyDescent="0.25">
      <c r="E771" s="3"/>
      <c r="F771" s="3"/>
    </row>
    <row r="772" spans="5:6" x14ac:dyDescent="0.25">
      <c r="E772" s="3"/>
      <c r="F772" s="3"/>
    </row>
    <row r="773" spans="5:6" x14ac:dyDescent="0.25">
      <c r="E773" s="3"/>
      <c r="F773" s="3"/>
    </row>
    <row r="774" spans="5:6" x14ac:dyDescent="0.25">
      <c r="E774" s="3"/>
      <c r="F774" s="3"/>
    </row>
    <row r="775" spans="5:6" x14ac:dyDescent="0.25">
      <c r="E775" s="3"/>
      <c r="F775" s="3"/>
    </row>
    <row r="776" spans="5:6" x14ac:dyDescent="0.25">
      <c r="E776" s="3"/>
      <c r="F776" s="3"/>
    </row>
    <row r="777" spans="5:6" x14ac:dyDescent="0.25">
      <c r="E777" s="3"/>
      <c r="F777" s="3"/>
    </row>
    <row r="778" spans="5:6" x14ac:dyDescent="0.25">
      <c r="E778" s="3"/>
      <c r="F778" s="3"/>
    </row>
    <row r="779" spans="5:6" x14ac:dyDescent="0.25">
      <c r="E779" s="3"/>
      <c r="F779" s="3"/>
    </row>
    <row r="780" spans="5:6" x14ac:dyDescent="0.25">
      <c r="E780" s="3"/>
      <c r="F780" s="3"/>
    </row>
    <row r="781" spans="5:6" x14ac:dyDescent="0.25">
      <c r="E781" s="3"/>
      <c r="F781" s="3"/>
    </row>
    <row r="782" spans="5:6" x14ac:dyDescent="0.25">
      <c r="E782" s="3"/>
      <c r="F782" s="3"/>
    </row>
    <row r="783" spans="5:6" x14ac:dyDescent="0.25">
      <c r="E783" s="3"/>
      <c r="F783" s="3"/>
    </row>
    <row r="784" spans="5:6" x14ac:dyDescent="0.25">
      <c r="E784" s="3"/>
      <c r="F784" s="3"/>
    </row>
    <row r="785" spans="5:6" x14ac:dyDescent="0.25">
      <c r="E785" s="3"/>
      <c r="F785" s="3"/>
    </row>
    <row r="786" spans="5:6" x14ac:dyDescent="0.25">
      <c r="E786" s="3"/>
      <c r="F786" s="3"/>
    </row>
    <row r="787" spans="5:6" x14ac:dyDescent="0.25">
      <c r="E787" s="3"/>
      <c r="F787" s="3"/>
    </row>
    <row r="788" spans="5:6" x14ac:dyDescent="0.25">
      <c r="E788" s="3"/>
      <c r="F788" s="3"/>
    </row>
    <row r="789" spans="5:6" x14ac:dyDescent="0.25">
      <c r="E789" s="3"/>
      <c r="F789" s="3"/>
    </row>
    <row r="790" spans="5:6" x14ac:dyDescent="0.25">
      <c r="E790" s="3"/>
      <c r="F790" s="3"/>
    </row>
    <row r="791" spans="5:6" x14ac:dyDescent="0.25">
      <c r="E791" s="3"/>
      <c r="F791" s="3"/>
    </row>
    <row r="792" spans="5:6" x14ac:dyDescent="0.25">
      <c r="E792" s="3"/>
      <c r="F792" s="3"/>
    </row>
    <row r="793" spans="5:6" x14ac:dyDescent="0.25">
      <c r="E793" s="3"/>
      <c r="F793" s="3"/>
    </row>
    <row r="794" spans="5:6" x14ac:dyDescent="0.25">
      <c r="E794" s="3"/>
      <c r="F794" s="3"/>
    </row>
    <row r="795" spans="5:6" x14ac:dyDescent="0.25">
      <c r="E795" s="3"/>
      <c r="F795" s="3"/>
    </row>
    <row r="796" spans="5:6" x14ac:dyDescent="0.25">
      <c r="E796" s="3"/>
      <c r="F796" s="3"/>
    </row>
    <row r="797" spans="5:6" x14ac:dyDescent="0.25">
      <c r="E797" s="3"/>
      <c r="F797" s="3"/>
    </row>
    <row r="798" spans="5:6" x14ac:dyDescent="0.25">
      <c r="E798" s="3"/>
      <c r="F798" s="3"/>
    </row>
    <row r="799" spans="5:6" x14ac:dyDescent="0.25">
      <c r="E799" s="3"/>
      <c r="F799" s="3"/>
    </row>
    <row r="800" spans="5:6" x14ac:dyDescent="0.25">
      <c r="E800" s="3"/>
      <c r="F800" s="3"/>
    </row>
    <row r="801" spans="5:6" x14ac:dyDescent="0.25">
      <c r="E801" s="3"/>
      <c r="F801" s="3"/>
    </row>
    <row r="802" spans="5:6" x14ac:dyDescent="0.25">
      <c r="E802" s="3"/>
      <c r="F802" s="3"/>
    </row>
    <row r="803" spans="5:6" x14ac:dyDescent="0.25">
      <c r="E803" s="3"/>
      <c r="F803" s="3"/>
    </row>
    <row r="804" spans="5:6" x14ac:dyDescent="0.25">
      <c r="E804" s="3"/>
      <c r="F804" s="3"/>
    </row>
    <row r="805" spans="5:6" x14ac:dyDescent="0.25">
      <c r="E805" s="3"/>
      <c r="F805" s="3"/>
    </row>
    <row r="806" spans="5:6" x14ac:dyDescent="0.25">
      <c r="E806" s="3"/>
      <c r="F806" s="3"/>
    </row>
    <row r="807" spans="5:6" x14ac:dyDescent="0.25">
      <c r="E807" s="3"/>
      <c r="F807" s="3"/>
    </row>
    <row r="808" spans="5:6" x14ac:dyDescent="0.25">
      <c r="E808" s="3"/>
      <c r="F808" s="3"/>
    </row>
    <row r="809" spans="5:6" x14ac:dyDescent="0.25">
      <c r="E809" s="3"/>
      <c r="F809" s="3"/>
    </row>
    <row r="810" spans="5:6" x14ac:dyDescent="0.25">
      <c r="E810" s="3"/>
      <c r="F810" s="3"/>
    </row>
    <row r="811" spans="5:6" x14ac:dyDescent="0.25">
      <c r="E811" s="3"/>
      <c r="F811" s="3"/>
    </row>
    <row r="812" spans="5:6" x14ac:dyDescent="0.25">
      <c r="E812" s="3"/>
      <c r="F812" s="3"/>
    </row>
    <row r="813" spans="5:6" x14ac:dyDescent="0.25">
      <c r="E813" s="3"/>
      <c r="F813" s="3"/>
    </row>
    <row r="814" spans="5:6" x14ac:dyDescent="0.25">
      <c r="E814" s="3"/>
      <c r="F814" s="3"/>
    </row>
    <row r="815" spans="5:6" x14ac:dyDescent="0.25">
      <c r="E815" s="3"/>
      <c r="F815" s="3"/>
    </row>
    <row r="816" spans="5:6" x14ac:dyDescent="0.25">
      <c r="E816" s="3"/>
      <c r="F816" s="3"/>
    </row>
    <row r="817" spans="5:6" x14ac:dyDescent="0.25">
      <c r="E817" s="3"/>
      <c r="F817" s="3"/>
    </row>
    <row r="818" spans="5:6" x14ac:dyDescent="0.25">
      <c r="E818" s="3"/>
      <c r="F818" s="3"/>
    </row>
    <row r="819" spans="5:6" x14ac:dyDescent="0.25">
      <c r="E819" s="3"/>
      <c r="F819" s="3"/>
    </row>
    <row r="820" spans="5:6" x14ac:dyDescent="0.25">
      <c r="E820" s="3"/>
      <c r="F820" s="3"/>
    </row>
    <row r="821" spans="5:6" x14ac:dyDescent="0.25">
      <c r="E821" s="3"/>
      <c r="F821" s="3"/>
    </row>
    <row r="822" spans="5:6" x14ac:dyDescent="0.25">
      <c r="E822" s="3"/>
      <c r="F822" s="3"/>
    </row>
    <row r="823" spans="5:6" x14ac:dyDescent="0.25">
      <c r="E823" s="3"/>
      <c r="F823" s="3"/>
    </row>
    <row r="824" spans="5:6" x14ac:dyDescent="0.25">
      <c r="E824" s="3"/>
      <c r="F824" s="3"/>
    </row>
    <row r="825" spans="5:6" x14ac:dyDescent="0.25">
      <c r="E825" s="3"/>
      <c r="F825" s="3"/>
    </row>
    <row r="826" spans="5:6" x14ac:dyDescent="0.25">
      <c r="E826" s="3"/>
      <c r="F826" s="3"/>
    </row>
    <row r="827" spans="5:6" x14ac:dyDescent="0.25">
      <c r="E827" s="3"/>
      <c r="F827" s="3"/>
    </row>
    <row r="828" spans="5:6" x14ac:dyDescent="0.25">
      <c r="E828" s="3"/>
      <c r="F828" s="3"/>
    </row>
    <row r="829" spans="5:6" x14ac:dyDescent="0.25">
      <c r="E829" s="3"/>
      <c r="F829" s="3"/>
    </row>
    <row r="830" spans="5:6" x14ac:dyDescent="0.25">
      <c r="E830" s="3"/>
      <c r="F830" s="3"/>
    </row>
    <row r="831" spans="5:6" x14ac:dyDescent="0.25">
      <c r="E831" s="3"/>
      <c r="F831" s="3"/>
    </row>
    <row r="832" spans="5:6" x14ac:dyDescent="0.25">
      <c r="E832" s="3"/>
      <c r="F832" s="3"/>
    </row>
    <row r="833" spans="5:6" x14ac:dyDescent="0.25">
      <c r="E833" s="3"/>
      <c r="F833" s="3"/>
    </row>
    <row r="834" spans="5:6" x14ac:dyDescent="0.25">
      <c r="E834" s="3"/>
      <c r="F834" s="3"/>
    </row>
    <row r="835" spans="5:6" x14ac:dyDescent="0.25">
      <c r="E835" s="3"/>
      <c r="F835" s="3"/>
    </row>
    <row r="836" spans="5:6" x14ac:dyDescent="0.25">
      <c r="E836" s="3"/>
      <c r="F836" s="3"/>
    </row>
    <row r="837" spans="5:6" x14ac:dyDescent="0.25">
      <c r="E837" s="3"/>
      <c r="F837" s="3"/>
    </row>
    <row r="838" spans="5:6" x14ac:dyDescent="0.25">
      <c r="E838" s="3"/>
      <c r="F838" s="3"/>
    </row>
    <row r="839" spans="5:6" x14ac:dyDescent="0.25">
      <c r="E839" s="3"/>
      <c r="F839" s="3"/>
    </row>
    <row r="840" spans="5:6" x14ac:dyDescent="0.25">
      <c r="E840" s="3"/>
      <c r="F840" s="3"/>
    </row>
    <row r="841" spans="5:6" x14ac:dyDescent="0.25">
      <c r="E841" s="3"/>
      <c r="F841" s="3"/>
    </row>
    <row r="842" spans="5:6" x14ac:dyDescent="0.25">
      <c r="E842" s="3"/>
      <c r="F842" s="3"/>
    </row>
    <row r="843" spans="5:6" x14ac:dyDescent="0.25">
      <c r="E843" s="3"/>
      <c r="F843" s="3"/>
    </row>
    <row r="844" spans="5:6" x14ac:dyDescent="0.25">
      <c r="E844" s="3"/>
      <c r="F844" s="3"/>
    </row>
    <row r="845" spans="5:6" x14ac:dyDescent="0.25">
      <c r="E845" s="3"/>
      <c r="F845" s="3"/>
    </row>
    <row r="846" spans="5:6" x14ac:dyDescent="0.25">
      <c r="E846" s="3"/>
      <c r="F846" s="3"/>
    </row>
    <row r="847" spans="5:6" x14ac:dyDescent="0.25">
      <c r="E847" s="3"/>
      <c r="F847" s="3"/>
    </row>
    <row r="848" spans="5:6" x14ac:dyDescent="0.25">
      <c r="E848" s="3"/>
      <c r="F848" s="3"/>
    </row>
    <row r="849" spans="5:6" x14ac:dyDescent="0.25">
      <c r="E849" s="3"/>
      <c r="F849" s="3"/>
    </row>
    <row r="850" spans="5:6" x14ac:dyDescent="0.25">
      <c r="E850" s="3"/>
      <c r="F850" s="3"/>
    </row>
    <row r="851" spans="5:6" x14ac:dyDescent="0.25">
      <c r="E851" s="3"/>
      <c r="F851" s="3"/>
    </row>
    <row r="852" spans="5:6" x14ac:dyDescent="0.25">
      <c r="E852" s="3"/>
      <c r="F852" s="3"/>
    </row>
    <row r="853" spans="5:6" x14ac:dyDescent="0.25">
      <c r="E853" s="3"/>
      <c r="F853" s="3"/>
    </row>
    <row r="854" spans="5:6" x14ac:dyDescent="0.25">
      <c r="E854" s="3"/>
      <c r="F854" s="3"/>
    </row>
    <row r="855" spans="5:6" x14ac:dyDescent="0.25">
      <c r="E855" s="3"/>
      <c r="F855" s="3"/>
    </row>
    <row r="856" spans="5:6" x14ac:dyDescent="0.25">
      <c r="E856" s="3"/>
      <c r="F856" s="3"/>
    </row>
    <row r="857" spans="5:6" x14ac:dyDescent="0.25">
      <c r="E857" s="3"/>
      <c r="F857" s="3"/>
    </row>
    <row r="858" spans="5:6" x14ac:dyDescent="0.25">
      <c r="E858" s="3"/>
      <c r="F858" s="3"/>
    </row>
    <row r="859" spans="5:6" x14ac:dyDescent="0.25">
      <c r="E859" s="3"/>
      <c r="F859" s="3"/>
    </row>
    <row r="860" spans="5:6" x14ac:dyDescent="0.25">
      <c r="E860" s="3"/>
      <c r="F860" s="3"/>
    </row>
    <row r="861" spans="5:6" x14ac:dyDescent="0.25">
      <c r="E861" s="3"/>
      <c r="F861" s="3"/>
    </row>
    <row r="862" spans="5:6" x14ac:dyDescent="0.25">
      <c r="E862" s="3"/>
      <c r="F862" s="3"/>
    </row>
    <row r="863" spans="5:6" x14ac:dyDescent="0.25">
      <c r="E863" s="3"/>
      <c r="F863" s="3"/>
    </row>
    <row r="864" spans="5:6" x14ac:dyDescent="0.25">
      <c r="E864" s="3"/>
      <c r="F864" s="3"/>
    </row>
    <row r="865" spans="5:6" x14ac:dyDescent="0.25">
      <c r="E865" s="3"/>
      <c r="F865" s="3"/>
    </row>
    <row r="866" spans="5:6" x14ac:dyDescent="0.25">
      <c r="E866" s="3"/>
      <c r="F866" s="3"/>
    </row>
    <row r="867" spans="5:6" x14ac:dyDescent="0.25">
      <c r="E867" s="3"/>
      <c r="F867" s="3"/>
    </row>
    <row r="868" spans="5:6" x14ac:dyDescent="0.25">
      <c r="E868" s="3"/>
      <c r="F868" s="3"/>
    </row>
    <row r="869" spans="5:6" x14ac:dyDescent="0.25">
      <c r="E869" s="3"/>
      <c r="F869" s="3"/>
    </row>
    <row r="870" spans="5:6" x14ac:dyDescent="0.25">
      <c r="E870" s="3"/>
      <c r="F870" s="3"/>
    </row>
    <row r="871" spans="5:6" x14ac:dyDescent="0.25">
      <c r="E871" s="3"/>
      <c r="F871" s="3"/>
    </row>
    <row r="872" spans="5:6" x14ac:dyDescent="0.25">
      <c r="E872" s="3"/>
      <c r="F872" s="3"/>
    </row>
    <row r="873" spans="5:6" x14ac:dyDescent="0.25">
      <c r="E873" s="3"/>
      <c r="F873" s="3"/>
    </row>
    <row r="874" spans="5:6" x14ac:dyDescent="0.25">
      <c r="E874" s="3"/>
      <c r="F874" s="3"/>
    </row>
    <row r="875" spans="5:6" x14ac:dyDescent="0.25">
      <c r="E875" s="3"/>
      <c r="F875" s="3"/>
    </row>
    <row r="876" spans="5:6" x14ac:dyDescent="0.25">
      <c r="E876" s="3"/>
      <c r="F876" s="3"/>
    </row>
    <row r="877" spans="5:6" x14ac:dyDescent="0.25">
      <c r="E877" s="3"/>
      <c r="F877" s="3"/>
    </row>
    <row r="878" spans="5:6" x14ac:dyDescent="0.25">
      <c r="E878" s="3"/>
      <c r="F878" s="3"/>
    </row>
    <row r="879" spans="5:6" x14ac:dyDescent="0.25">
      <c r="E879" s="3"/>
      <c r="F879" s="3"/>
    </row>
    <row r="880" spans="5:6" x14ac:dyDescent="0.25">
      <c r="E880" s="3"/>
      <c r="F880" s="3"/>
    </row>
    <row r="881" spans="5:6" x14ac:dyDescent="0.25">
      <c r="E881" s="3"/>
      <c r="F881" s="3"/>
    </row>
    <row r="882" spans="5:6" x14ac:dyDescent="0.25">
      <c r="E882" s="3"/>
      <c r="F882" s="3"/>
    </row>
    <row r="883" spans="5:6" x14ac:dyDescent="0.25">
      <c r="E883" s="3"/>
      <c r="F883" s="3"/>
    </row>
    <row r="884" spans="5:6" x14ac:dyDescent="0.25">
      <c r="E884" s="3"/>
      <c r="F884" s="3"/>
    </row>
    <row r="885" spans="5:6" x14ac:dyDescent="0.25">
      <c r="E885" s="3"/>
      <c r="F885" s="3"/>
    </row>
    <row r="886" spans="5:6" x14ac:dyDescent="0.25">
      <c r="E886" s="3"/>
      <c r="F886" s="3"/>
    </row>
    <row r="887" spans="5:6" x14ac:dyDescent="0.25">
      <c r="E887" s="3"/>
      <c r="F887" s="3"/>
    </row>
    <row r="888" spans="5:6" x14ac:dyDescent="0.25">
      <c r="E888" s="3"/>
      <c r="F888" s="3"/>
    </row>
    <row r="889" spans="5:6" x14ac:dyDescent="0.25">
      <c r="E889" s="3"/>
      <c r="F889" s="3"/>
    </row>
    <row r="890" spans="5:6" x14ac:dyDescent="0.25">
      <c r="E890" s="3"/>
      <c r="F890" s="3"/>
    </row>
    <row r="891" spans="5:6" x14ac:dyDescent="0.25">
      <c r="E891" s="3"/>
      <c r="F891" s="3"/>
    </row>
    <row r="892" spans="5:6" x14ac:dyDescent="0.25">
      <c r="E892" s="3"/>
      <c r="F892" s="3"/>
    </row>
    <row r="893" spans="5:6" x14ac:dyDescent="0.25">
      <c r="E893" s="3"/>
      <c r="F893" s="3"/>
    </row>
    <row r="894" spans="5:6" x14ac:dyDescent="0.25">
      <c r="E894" s="3"/>
      <c r="F894" s="3"/>
    </row>
    <row r="895" spans="5:6" x14ac:dyDescent="0.25">
      <c r="E895" s="3"/>
      <c r="F895" s="3"/>
    </row>
    <row r="896" spans="5:6" x14ac:dyDescent="0.25">
      <c r="E896" s="3"/>
      <c r="F896" s="3"/>
    </row>
    <row r="897" spans="5:6" x14ac:dyDescent="0.25">
      <c r="E897" s="3"/>
      <c r="F897" s="3"/>
    </row>
    <row r="898" spans="5:6" x14ac:dyDescent="0.25">
      <c r="E898" s="3"/>
      <c r="F898" s="3"/>
    </row>
    <row r="899" spans="5:6" x14ac:dyDescent="0.25">
      <c r="E899" s="3"/>
      <c r="F899" s="3"/>
    </row>
    <row r="900" spans="5:6" x14ac:dyDescent="0.25">
      <c r="E900" s="3"/>
      <c r="F900" s="3"/>
    </row>
    <row r="901" spans="5:6" x14ac:dyDescent="0.25">
      <c r="E901" s="3"/>
      <c r="F901" s="3"/>
    </row>
    <row r="902" spans="5:6" x14ac:dyDescent="0.25">
      <c r="E902" s="3"/>
      <c r="F902" s="3"/>
    </row>
    <row r="903" spans="5:6" x14ac:dyDescent="0.25">
      <c r="E903" s="3"/>
      <c r="F903" s="3"/>
    </row>
    <row r="904" spans="5:6" x14ac:dyDescent="0.25">
      <c r="E904" s="3"/>
      <c r="F904" s="3"/>
    </row>
    <row r="905" spans="5:6" x14ac:dyDescent="0.25">
      <c r="E905" s="3"/>
      <c r="F905" s="3"/>
    </row>
    <row r="906" spans="5:6" x14ac:dyDescent="0.25">
      <c r="E906" s="3"/>
      <c r="F906" s="3"/>
    </row>
    <row r="907" spans="5:6" x14ac:dyDescent="0.25">
      <c r="E907" s="3"/>
      <c r="F907" s="3"/>
    </row>
    <row r="908" spans="5:6" x14ac:dyDescent="0.25">
      <c r="E908" s="3"/>
      <c r="F908" s="3"/>
    </row>
    <row r="909" spans="5:6" x14ac:dyDescent="0.25">
      <c r="E909" s="3"/>
      <c r="F909" s="3"/>
    </row>
    <row r="910" spans="5:6" x14ac:dyDescent="0.25">
      <c r="E910" s="3"/>
      <c r="F910" s="3"/>
    </row>
    <row r="911" spans="5:6" x14ac:dyDescent="0.25">
      <c r="E911" s="3"/>
      <c r="F911" s="3"/>
    </row>
    <row r="912" spans="5:6" x14ac:dyDescent="0.25">
      <c r="E912" s="3"/>
      <c r="F912" s="3"/>
    </row>
    <row r="913" spans="5:6" x14ac:dyDescent="0.25">
      <c r="E913" s="3"/>
      <c r="F913" s="3"/>
    </row>
    <row r="914" spans="5:6" x14ac:dyDescent="0.25">
      <c r="E914" s="3"/>
      <c r="F914" s="3"/>
    </row>
    <row r="915" spans="5:6" x14ac:dyDescent="0.25">
      <c r="E915" s="3"/>
      <c r="F915" s="3"/>
    </row>
    <row r="916" spans="5:6" x14ac:dyDescent="0.25">
      <c r="E916" s="3"/>
      <c r="F916" s="3"/>
    </row>
    <row r="917" spans="5:6" x14ac:dyDescent="0.25">
      <c r="E917" s="3"/>
      <c r="F917" s="3"/>
    </row>
    <row r="918" spans="5:6" x14ac:dyDescent="0.25">
      <c r="E918" s="3"/>
      <c r="F918" s="3"/>
    </row>
    <row r="919" spans="5:6" x14ac:dyDescent="0.25">
      <c r="E919" s="3"/>
      <c r="F919" s="3"/>
    </row>
    <row r="920" spans="5:6" x14ac:dyDescent="0.25">
      <c r="E920" s="3"/>
      <c r="F920" s="3"/>
    </row>
    <row r="921" spans="5:6" x14ac:dyDescent="0.25">
      <c r="E921" s="3"/>
      <c r="F921" s="3"/>
    </row>
    <row r="922" spans="5:6" x14ac:dyDescent="0.25">
      <c r="E922" s="3"/>
      <c r="F922" s="3"/>
    </row>
    <row r="923" spans="5:6" x14ac:dyDescent="0.25">
      <c r="E923" s="3"/>
      <c r="F923" s="3"/>
    </row>
    <row r="924" spans="5:6" x14ac:dyDescent="0.25">
      <c r="E924" s="3"/>
      <c r="F924" s="3"/>
    </row>
    <row r="925" spans="5:6" x14ac:dyDescent="0.25">
      <c r="E925" s="3"/>
      <c r="F925" s="3"/>
    </row>
    <row r="926" spans="5:6" x14ac:dyDescent="0.25">
      <c r="E926" s="3"/>
      <c r="F926" s="3"/>
    </row>
    <row r="927" spans="5:6" x14ac:dyDescent="0.25">
      <c r="E927" s="3"/>
      <c r="F927" s="3"/>
    </row>
    <row r="928" spans="5:6" x14ac:dyDescent="0.25">
      <c r="E928" s="3"/>
      <c r="F928" s="3"/>
    </row>
    <row r="929" spans="5:6" x14ac:dyDescent="0.25">
      <c r="E929" s="3"/>
      <c r="F929" s="3"/>
    </row>
    <row r="930" spans="5:6" x14ac:dyDescent="0.25">
      <c r="E930" s="3"/>
      <c r="F930" s="3"/>
    </row>
    <row r="931" spans="5:6" x14ac:dyDescent="0.25">
      <c r="E931" s="3"/>
      <c r="F931" s="3"/>
    </row>
    <row r="932" spans="5:6" x14ac:dyDescent="0.25">
      <c r="E932" s="3"/>
      <c r="F932" s="3"/>
    </row>
    <row r="933" spans="5:6" x14ac:dyDescent="0.25">
      <c r="E933" s="3"/>
      <c r="F933" s="3"/>
    </row>
    <row r="934" spans="5:6" x14ac:dyDescent="0.25">
      <c r="E934" s="3"/>
      <c r="F934" s="3"/>
    </row>
    <row r="935" spans="5:6" x14ac:dyDescent="0.25">
      <c r="E935" s="3"/>
      <c r="F935" s="3"/>
    </row>
    <row r="936" spans="5:6" x14ac:dyDescent="0.25">
      <c r="E936" s="3"/>
      <c r="F936" s="3"/>
    </row>
    <row r="937" spans="5:6" x14ac:dyDescent="0.25">
      <c r="E937" s="3"/>
      <c r="F937" s="3"/>
    </row>
    <row r="938" spans="5:6" x14ac:dyDescent="0.25">
      <c r="E938" s="3"/>
      <c r="F938" s="3"/>
    </row>
    <row r="939" spans="5:6" x14ac:dyDescent="0.25">
      <c r="E939" s="3"/>
      <c r="F939" s="3"/>
    </row>
    <row r="940" spans="5:6" x14ac:dyDescent="0.25">
      <c r="E940" s="3"/>
      <c r="F940" s="3"/>
    </row>
    <row r="941" spans="5:6" x14ac:dyDescent="0.25">
      <c r="E941" s="3"/>
      <c r="F941" s="3"/>
    </row>
    <row r="942" spans="5:6" x14ac:dyDescent="0.25">
      <c r="E942" s="3"/>
      <c r="F942" s="3"/>
    </row>
    <row r="943" spans="5:6" x14ac:dyDescent="0.25">
      <c r="E943" s="3"/>
      <c r="F943" s="3"/>
    </row>
    <row r="944" spans="5:6" x14ac:dyDescent="0.25">
      <c r="E944" s="3"/>
      <c r="F944" s="3"/>
    </row>
    <row r="945" spans="5:6" x14ac:dyDescent="0.25">
      <c r="E945" s="3"/>
      <c r="F945" s="3"/>
    </row>
    <row r="946" spans="5:6" x14ac:dyDescent="0.25">
      <c r="E946" s="3"/>
      <c r="F946" s="3"/>
    </row>
    <row r="947" spans="5:6" x14ac:dyDescent="0.25">
      <c r="E947" s="3"/>
      <c r="F947" s="3"/>
    </row>
    <row r="948" spans="5:6" x14ac:dyDescent="0.25">
      <c r="E948" s="3"/>
      <c r="F948" s="3"/>
    </row>
    <row r="949" spans="5:6" x14ac:dyDescent="0.25">
      <c r="E949" s="3"/>
      <c r="F949" s="3"/>
    </row>
    <row r="950" spans="5:6" x14ac:dyDescent="0.25">
      <c r="E950" s="3"/>
      <c r="F950" s="3"/>
    </row>
    <row r="951" spans="5:6" x14ac:dyDescent="0.25">
      <c r="E951" s="3"/>
      <c r="F951" s="3"/>
    </row>
    <row r="952" spans="5:6" x14ac:dyDescent="0.25">
      <c r="E952" s="3"/>
      <c r="F952" s="3"/>
    </row>
    <row r="953" spans="5:6" x14ac:dyDescent="0.25">
      <c r="E953" s="3"/>
      <c r="F953" s="3"/>
    </row>
    <row r="954" spans="5:6" x14ac:dyDescent="0.25">
      <c r="E954" s="3"/>
      <c r="F954" s="3"/>
    </row>
    <row r="955" spans="5:6" x14ac:dyDescent="0.25">
      <c r="E955" s="3"/>
      <c r="F955" s="3"/>
    </row>
    <row r="956" spans="5:6" x14ac:dyDescent="0.25">
      <c r="E956" s="3"/>
      <c r="F956" s="3"/>
    </row>
    <row r="957" spans="5:6" x14ac:dyDescent="0.25">
      <c r="E957" s="3"/>
      <c r="F957" s="3"/>
    </row>
    <row r="958" spans="5:6" x14ac:dyDescent="0.25">
      <c r="E958" s="3"/>
      <c r="F958" s="3"/>
    </row>
    <row r="959" spans="5:6" x14ac:dyDescent="0.25">
      <c r="E959" s="3"/>
      <c r="F959" s="3"/>
    </row>
    <row r="960" spans="5:6" x14ac:dyDescent="0.25">
      <c r="E960" s="3"/>
      <c r="F960" s="3"/>
    </row>
    <row r="961" spans="5:6" x14ac:dyDescent="0.25">
      <c r="E961" s="3"/>
      <c r="F961" s="3"/>
    </row>
    <row r="962" spans="5:6" x14ac:dyDescent="0.25">
      <c r="E962" s="3"/>
      <c r="F962" s="3"/>
    </row>
    <row r="963" spans="5:6" x14ac:dyDescent="0.25">
      <c r="E963" s="3"/>
      <c r="F963" s="3"/>
    </row>
    <row r="964" spans="5:6" x14ac:dyDescent="0.25">
      <c r="E964" s="3"/>
      <c r="F964" s="3"/>
    </row>
    <row r="965" spans="5:6" x14ac:dyDescent="0.25">
      <c r="E965" s="3"/>
      <c r="F965" s="3"/>
    </row>
    <row r="966" spans="5:6" x14ac:dyDescent="0.25">
      <c r="E966" s="3"/>
      <c r="F966" s="3"/>
    </row>
    <row r="967" spans="5:6" x14ac:dyDescent="0.25">
      <c r="E967" s="3"/>
      <c r="F967" s="3"/>
    </row>
    <row r="968" spans="5:6" x14ac:dyDescent="0.25">
      <c r="E968" s="3"/>
      <c r="F968" s="3"/>
    </row>
    <row r="969" spans="5:6" x14ac:dyDescent="0.25">
      <c r="E969" s="3"/>
      <c r="F969" s="3"/>
    </row>
    <row r="970" spans="5:6" x14ac:dyDescent="0.25">
      <c r="E970" s="3"/>
      <c r="F970" s="3"/>
    </row>
    <row r="971" spans="5:6" x14ac:dyDescent="0.25">
      <c r="E971" s="3"/>
      <c r="F971" s="3"/>
    </row>
    <row r="972" spans="5:6" x14ac:dyDescent="0.25">
      <c r="E972" s="3"/>
      <c r="F972" s="3"/>
    </row>
    <row r="973" spans="5:6" x14ac:dyDescent="0.25">
      <c r="E973" s="3"/>
      <c r="F973" s="3"/>
    </row>
    <row r="974" spans="5:6" x14ac:dyDescent="0.25">
      <c r="E974" s="3"/>
      <c r="F974" s="3"/>
    </row>
    <row r="975" spans="5:6" x14ac:dyDescent="0.25">
      <c r="E975" s="3"/>
      <c r="F975" s="3"/>
    </row>
    <row r="976" spans="5:6" x14ac:dyDescent="0.25">
      <c r="E976" s="3"/>
      <c r="F976" s="3"/>
    </row>
    <row r="977" spans="5:6" x14ac:dyDescent="0.25">
      <c r="E977" s="3"/>
      <c r="F977" s="3"/>
    </row>
    <row r="978" spans="5:6" x14ac:dyDescent="0.25">
      <c r="E978" s="3"/>
      <c r="F978" s="3"/>
    </row>
    <row r="979" spans="5:6" x14ac:dyDescent="0.25">
      <c r="E979" s="3"/>
      <c r="F979" s="3"/>
    </row>
    <row r="980" spans="5:6" x14ac:dyDescent="0.25">
      <c r="E980" s="3"/>
      <c r="F980" s="3"/>
    </row>
    <row r="981" spans="5:6" x14ac:dyDescent="0.25">
      <c r="E981" s="3"/>
      <c r="F981" s="3"/>
    </row>
    <row r="982" spans="5:6" x14ac:dyDescent="0.25">
      <c r="E982" s="3"/>
      <c r="F982" s="3"/>
    </row>
    <row r="983" spans="5:6" x14ac:dyDescent="0.25">
      <c r="E983" s="3"/>
      <c r="F983" s="3"/>
    </row>
    <row r="984" spans="5:6" x14ac:dyDescent="0.25">
      <c r="E984" s="3"/>
      <c r="F984" s="3"/>
    </row>
    <row r="985" spans="5:6" x14ac:dyDescent="0.25">
      <c r="E985" s="3"/>
      <c r="F985" s="3"/>
    </row>
    <row r="986" spans="5:6" x14ac:dyDescent="0.25">
      <c r="E986" s="3"/>
      <c r="F986" s="3"/>
    </row>
    <row r="987" spans="5:6" x14ac:dyDescent="0.25">
      <c r="E987" s="3"/>
      <c r="F987" s="3"/>
    </row>
    <row r="988" spans="5:6" x14ac:dyDescent="0.25">
      <c r="E988" s="3"/>
      <c r="F988" s="3"/>
    </row>
    <row r="989" spans="5:6" x14ac:dyDescent="0.25">
      <c r="E989" s="3"/>
      <c r="F989" s="3"/>
    </row>
    <row r="990" spans="5:6" x14ac:dyDescent="0.25">
      <c r="E990" s="3"/>
      <c r="F990" s="3"/>
    </row>
    <row r="991" spans="5:6" x14ac:dyDescent="0.25">
      <c r="E991" s="3"/>
      <c r="F991" s="3"/>
    </row>
    <row r="992" spans="5:6" x14ac:dyDescent="0.25">
      <c r="E992" s="3"/>
      <c r="F992" s="3"/>
    </row>
    <row r="993" spans="5:6" x14ac:dyDescent="0.25">
      <c r="E993" s="3"/>
      <c r="F993" s="3"/>
    </row>
    <row r="994" spans="5:6" x14ac:dyDescent="0.25">
      <c r="E994" s="3"/>
      <c r="F994" s="3"/>
    </row>
    <row r="995" spans="5:6" x14ac:dyDescent="0.25">
      <c r="E995" s="3"/>
      <c r="F995" s="3"/>
    </row>
    <row r="996" spans="5:6" x14ac:dyDescent="0.25">
      <c r="E996" s="3"/>
      <c r="F996" s="3"/>
    </row>
    <row r="997" spans="5:6" x14ac:dyDescent="0.25">
      <c r="E997" s="3"/>
      <c r="F997" s="3"/>
    </row>
    <row r="998" spans="5:6" x14ac:dyDescent="0.25">
      <c r="E998" s="3"/>
      <c r="F998" s="3"/>
    </row>
    <row r="999" spans="5:6" x14ac:dyDescent="0.25">
      <c r="E999" s="3"/>
      <c r="F999" s="3"/>
    </row>
    <row r="1000" spans="5:6" x14ac:dyDescent="0.25">
      <c r="E1000" s="3"/>
      <c r="F1000" s="3"/>
    </row>
  </sheetData>
  <phoneticPr fontId="1" type="noConversion"/>
  <dataValidations count="7">
    <dataValidation type="list" errorStyle="warning" allowBlank="1" showInputMessage="1" showErrorMessage="1" errorTitle="Not in list" error="This value is not in the list. Click Yes to keep it anyway." sqref="D2:D1000" xr:uid="{EF241240-1881-4681-AD29-30F8049CE02F}">
      <formula1>INDIRECT("Blocks[Block]")</formula1>
    </dataValidation>
    <dataValidation type="list" allowBlank="1" showInputMessage="1" showErrorMessage="1" sqref="G2:G1000" xr:uid="{168E5A54-CDAA-4561-8F18-6469CA52A214}">
      <formula1>INDIRECT("Gender[Gender]")</formula1>
    </dataValidation>
    <dataValidation type="list" allowBlank="1" showInputMessage="1" showErrorMessage="1" sqref="H2:H1000" xr:uid="{3E3E2DC6-7DE6-4CC2-BCA4-A2C40818E581}">
      <formula1>INDIRECT("Sponsor[Sponsor]")</formula1>
    </dataValidation>
    <dataValidation type="list" allowBlank="1" showInputMessage="1" showErrorMessage="1" sqref="J2:J1000" xr:uid="{9FAB5B4B-D326-4C83-B1F6-B54AA59174EA}">
      <formula1>INDIRECT("Table8[IsOnline]")</formula1>
    </dataValidation>
    <dataValidation type="list" errorStyle="warning" allowBlank="1" showInputMessage="1" showErrorMessage="1" errorTitle="Not in list" error="This value is not in the list. Click Yes to keep it anyway." sqref="M2:M1000" xr:uid="{EF92499A-6BC9-4A03-8164-D5591E118A7A}">
      <formula1>INDIRECT("Teams[Team]")</formula1>
    </dataValidation>
    <dataValidation type="list" errorStyle="warning" allowBlank="1" showInputMessage="1" showErrorMessage="1" errorTitle="Not in list" error="This value is not in the list. Click Yes to keep it anyway." sqref="O2:O1000" xr:uid="{14831844-BC32-42B1-9D59-B0480F17D6DE}">
      <formula1>INDIRECT("Category[Category]")</formula1>
    </dataValidation>
    <dataValidation type="textLength" errorStyle="warning" allowBlank="1" showInputMessage="1" showErrorMessage="1" errorTitle="Mobile number" error="A mobile number has 10 digits." sqref="F2:F1000" xr:uid="{382418B0-05B1-4102-976B-C98BB92CC2CA}">
      <formula1>10</formula1>
      <formula2>10</formula2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D036F-8B60-4042-8ABA-4C849B90C48E}">
  <dimension ref="A1:N40"/>
  <sheetViews>
    <sheetView topLeftCell="F1" zoomScale="102" zoomScaleNormal="70" workbookViewId="0">
      <selection activeCell="F13" sqref="F13"/>
    </sheetView>
  </sheetViews>
  <sheetFormatPr defaultRowHeight="15" x14ac:dyDescent="0.25"/>
  <cols>
    <col min="1" max="1" width="26.28515625" customWidth="1"/>
    <col min="2" max="2" width="21.5703125" bestFit="1" customWidth="1"/>
    <col min="3" max="3" width="17.28515625" customWidth="1"/>
    <col min="4" max="4" width="28.7109375" customWidth="1"/>
    <col min="5" max="5" width="31.5703125" customWidth="1"/>
    <col min="6" max="6" width="28.140625" customWidth="1"/>
    <col min="7" max="7" width="41.28515625" customWidth="1"/>
    <col min="8" max="8" width="28.28515625" bestFit="1" customWidth="1"/>
    <col min="9" max="9" width="38" bestFit="1" customWidth="1"/>
    <col min="10" max="10" width="39.5703125" bestFit="1" customWidth="1"/>
    <col min="11" max="11" width="29.140625" customWidth="1"/>
    <col min="12" max="12" width="30.5703125" bestFit="1" customWidth="1"/>
    <col min="14" max="14" width="16.7109375" customWidth="1"/>
  </cols>
  <sheetData>
    <row r="1" spans="1:14" x14ac:dyDescent="0.25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34</v>
      </c>
      <c r="K1" s="1" t="s">
        <v>35</v>
      </c>
      <c r="L1" s="1" t="s">
        <v>36</v>
      </c>
      <c r="N1" s="4" t="s">
        <v>60</v>
      </c>
    </row>
    <row r="2" spans="1:14" x14ac:dyDescent="0.25">
      <c r="A2">
        <f>COUNTIFS(Players[Name], "&lt;&gt;", Players[Sponsor], "&lt;&gt;Yes")</f>
        <v>0</v>
      </c>
      <c r="B2">
        <f>COUNTIFS(Players[Gender], "Male", Players[Name], "&lt;&gt;", Players[Sponsor], "")</f>
        <v>0</v>
      </c>
      <c r="C2">
        <f>COUNTIFS(Players[Gender], "Female", Players[Name], "&lt;&gt;", Players[Sponsor], "")</f>
        <v>0</v>
      </c>
      <c r="D2">
        <f>COUNTIFS(Players[Gender], "kids", Players[Name], "&lt;&gt;", Players[Sponsor], "")</f>
        <v>0</v>
      </c>
      <c r="E2">
        <f>COUNTIFS(Players[Sponsor], "Yes")</f>
        <v>0</v>
      </c>
      <c r="F2">
        <f>COUNTIFS(Players[Gender], "Male", Players[Name], "&lt;&gt;", Players[Sponsor], "") * Fee</f>
        <v>0</v>
      </c>
      <c r="G2">
        <f>COUNTIFS(Players[Gender], "Male", Players[Name], "&lt;&gt;", Players[Sponsor], "",Players[IsOnline],"No") * Fee</f>
        <v>0</v>
      </c>
      <c r="H2">
        <f>COUNTIFS(Players[Gender], "Male", Players[Name], "&lt;&gt;", Players[Sponsor], "",Players[IsOnline],"Yes") * Fee</f>
        <v>0</v>
      </c>
      <c r="I2">
        <f>SUM(Players[Sponsor Amount])</f>
        <v>0</v>
      </c>
      <c r="J2">
        <f>SUM(Table2[[#This Row],[Offline Amount (Without Sponsor)]],Table2[[#This Row],[Online Amount]],Table2[[#This Row],[Sponosor Amount]])</f>
        <v>0</v>
      </c>
      <c r="K2">
        <f>SUM(Expenses[Amount])</f>
        <v>0</v>
      </c>
      <c r="L2">
        <f>SUM(Table2[[#This Row],[Total Amount With Sponsor]],-Table2[[#This Row],[Expense]])</f>
        <v>0</v>
      </c>
      <c r="N2" s="5">
        <v>250</v>
      </c>
    </row>
    <row r="10" spans="1:14" x14ac:dyDescent="0.25">
      <c r="D10" s="1" t="s">
        <v>37</v>
      </c>
      <c r="E10" s="1" t="s">
        <v>38</v>
      </c>
      <c r="F10" s="1" t="s">
        <v>39</v>
      </c>
      <c r="G10" s="1" t="s">
        <v>40</v>
      </c>
      <c r="H10" s="1" t="s">
        <v>7</v>
      </c>
      <c r="I10" s="1" t="s">
        <v>10</v>
      </c>
    </row>
    <row r="11" spans="1:14" x14ac:dyDescent="0.25">
      <c r="A11" s="1" t="s">
        <v>41</v>
      </c>
      <c r="B11" s="1" t="s">
        <v>42</v>
      </c>
    </row>
    <row r="12" spans="1:14" x14ac:dyDescent="0.25">
      <c r="A12" t="s">
        <v>17</v>
      </c>
      <c r="B12">
        <f>COUNTIFS(Players[Block], A12, Players[Gender], "Male")</f>
        <v>0</v>
      </c>
    </row>
    <row r="13" spans="1:14" x14ac:dyDescent="0.25">
      <c r="A13" t="s">
        <v>22</v>
      </c>
      <c r="B13">
        <f>COUNTIFS(Players[Block], A13, Players[Gender], "Male")</f>
        <v>0</v>
      </c>
    </row>
    <row r="14" spans="1:14" x14ac:dyDescent="0.25">
      <c r="A14" t="s">
        <v>20</v>
      </c>
      <c r="B14">
        <f>COUNTIFS(Players[Block], A14, Players[Gender], "Male")</f>
        <v>0</v>
      </c>
    </row>
    <row r="15" spans="1:14" x14ac:dyDescent="0.25">
      <c r="A15" t="s">
        <v>15</v>
      </c>
      <c r="B15">
        <f>COUNTIFS(Players[Block], A15, Players[Gender], "Male")</f>
        <v>0</v>
      </c>
    </row>
    <row r="16" spans="1:14" x14ac:dyDescent="0.25">
      <c r="A16" t="s">
        <v>21</v>
      </c>
      <c r="B16">
        <f>COUNTIFS(Players[Block], A16, Players[Gender], "Male")</f>
        <v>0</v>
      </c>
    </row>
    <row r="17" spans="1:9" x14ac:dyDescent="0.25">
      <c r="A17" t="s">
        <v>19</v>
      </c>
      <c r="B17">
        <f>COUNTIFS(Players[Block], A17, Players[Gender], "Male")</f>
        <v>0</v>
      </c>
    </row>
    <row r="21" spans="1:9" x14ac:dyDescent="0.25">
      <c r="A21" s="1" t="s">
        <v>43</v>
      </c>
      <c r="B21" s="1" t="s">
        <v>42</v>
      </c>
    </row>
    <row r="22" spans="1:9" x14ac:dyDescent="0.25">
      <c r="A22" t="s">
        <v>17</v>
      </c>
      <c r="B22">
        <f>COUNTIFS(Players[Block], A22, Players[Gender], "Female")</f>
        <v>0</v>
      </c>
    </row>
    <row r="23" spans="1:9" x14ac:dyDescent="0.25">
      <c r="A23" t="s">
        <v>22</v>
      </c>
      <c r="B23">
        <f>COUNTIFS(Players[Block], A23, Players[Gender], "Female")</f>
        <v>0</v>
      </c>
    </row>
    <row r="24" spans="1:9" x14ac:dyDescent="0.25">
      <c r="A24" t="s">
        <v>20</v>
      </c>
      <c r="B24">
        <f>COUNTIFS(Players[Block], A24, Players[Gender], "Female")</f>
        <v>0</v>
      </c>
    </row>
    <row r="25" spans="1:9" x14ac:dyDescent="0.25">
      <c r="A25" t="s">
        <v>15</v>
      </c>
      <c r="B25">
        <f>COUNTIFS(Players[Block], A25, Players[Gender], "Female")</f>
        <v>0</v>
      </c>
    </row>
    <row r="26" spans="1:9" x14ac:dyDescent="0.25">
      <c r="A26" t="s">
        <v>21</v>
      </c>
      <c r="B26">
        <f>COUNTIFS(Players[Block], A26, Players[Gender], "Female")</f>
        <v>0</v>
      </c>
    </row>
    <row r="27" spans="1:9" x14ac:dyDescent="0.25">
      <c r="A27" t="s">
        <v>19</v>
      </c>
      <c r="B27">
        <f>COUNTIFS(Players[Block], A27, Players[Gender], "Female")</f>
        <v>0</v>
      </c>
    </row>
    <row r="32" spans="1:9" x14ac:dyDescent="0.25">
      <c r="D32" s="2" t="s">
        <v>44</v>
      </c>
      <c r="E32" s="2" t="s">
        <v>42</v>
      </c>
      <c r="F32" s="2" t="s">
        <v>45</v>
      </c>
      <c r="H32" t="s">
        <v>46</v>
      </c>
      <c r="I32" t="s">
        <v>10</v>
      </c>
    </row>
    <row r="33" spans="4:9" x14ac:dyDescent="0.25">
      <c r="D33">
        <v>500</v>
      </c>
      <c r="E33">
        <v>0</v>
      </c>
      <c r="F33">
        <f t="shared" ref="F33:F39" si="0">D33*E33</f>
        <v>0</v>
      </c>
      <c r="H33">
        <f>SUM(F33:F39)</f>
        <v>0</v>
      </c>
      <c r="I33" t="s">
        <v>47</v>
      </c>
    </row>
    <row r="34" spans="4:9" x14ac:dyDescent="0.25">
      <c r="D34">
        <v>200</v>
      </c>
      <c r="E34">
        <v>0</v>
      </c>
      <c r="F34">
        <f t="shared" si="0"/>
        <v>0</v>
      </c>
    </row>
    <row r="35" spans="4:9" x14ac:dyDescent="0.25">
      <c r="D35">
        <v>100</v>
      </c>
      <c r="E35">
        <v>0</v>
      </c>
      <c r="F35">
        <f t="shared" si="0"/>
        <v>0</v>
      </c>
    </row>
    <row r="36" spans="4:9" x14ac:dyDescent="0.25">
      <c r="D36">
        <v>50</v>
      </c>
      <c r="E36">
        <v>0</v>
      </c>
      <c r="F36">
        <f t="shared" si="0"/>
        <v>0</v>
      </c>
    </row>
    <row r="37" spans="4:9" x14ac:dyDescent="0.25">
      <c r="D37">
        <v>20</v>
      </c>
      <c r="E37">
        <v>0</v>
      </c>
      <c r="F37">
        <f t="shared" si="0"/>
        <v>0</v>
      </c>
    </row>
    <row r="38" spans="4:9" x14ac:dyDescent="0.25">
      <c r="D38">
        <v>10</v>
      </c>
      <c r="E38">
        <v>0</v>
      </c>
      <c r="F38">
        <f t="shared" si="0"/>
        <v>0</v>
      </c>
    </row>
    <row r="39" spans="4:9" x14ac:dyDescent="0.25">
      <c r="D39">
        <v>5</v>
      </c>
      <c r="E39">
        <v>0</v>
      </c>
      <c r="F39">
        <f t="shared" si="0"/>
        <v>0</v>
      </c>
      <c r="H39">
        <f>SUM(H33:H36)</f>
        <v>0</v>
      </c>
      <c r="I39" t="s">
        <v>48</v>
      </c>
    </row>
    <row r="40" spans="4:9" x14ac:dyDescent="0.25">
      <c r="F40">
        <f>SUM(F33:F39)</f>
        <v>0</v>
      </c>
    </row>
  </sheetData>
  <dataValidations disablePrompts="1" count="2">
    <dataValidation type="list" allowBlank="1" showInputMessage="1" showErrorMessage="1" sqref="G11:G200" xr:uid="{EF66B780-112C-445E-BA85-4435E1228F42}">
      <formula1>"""Yes,No"""</formula1>
    </dataValidation>
    <dataValidation type="list" errorStyle="warning" allowBlank="1" showInputMessage="1" showErrorMessage="1" errorTitle="Not in list" error="This value is not in the list. Click Yes to keep it anyway." sqref="I11:I200" xr:uid="{B725FF1D-9503-4624-82B2-84B805001AB4}">
      <formula1>"""Cash,Online"""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B67EADD-7C1F-4963-B2D5-2467E1E0602E}">
          <x14:formula1>
            <xm:f>Misc.!$A$12:$A$13</xm:f>
          </x14:formula1>
          <xm:sqref>H11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F9703-FA96-4CA7-8E9D-87D73F653019}">
  <dimension ref="A1:T500"/>
  <sheetViews>
    <sheetView workbookViewId="0"/>
  </sheetViews>
  <sheetFormatPr defaultRowHeight="15" x14ac:dyDescent="0.25"/>
  <cols>
    <col min="1" max="1" width="9.7109375" customWidth="1"/>
    <col min="2" max="2" width="13.7109375" customWidth="1"/>
    <col min="3" max="3" width="11.7109375" customWidth="1"/>
    <col min="4" max="5" width="28.7109375" customWidth="1"/>
    <col min="6" max="6" width="50.7109375" customWidth="1"/>
    <col min="7" max="7" width="13.7109375" customWidth="1"/>
    <col min="8" max="8" width="28.7109375" customWidth="1"/>
    <col min="9" max="9" width="22.7109375" customWidth="1"/>
    <col min="10" max="10" width="18.7109375" customWidth="1"/>
    <col min="11" max="11" width="30.7109375" customWidth="1"/>
    <col min="12" max="12" width="18.7109375" customWidth="1"/>
    <col min="13" max="13" width="22.7109375" customWidth="1"/>
    <col min="14" max="14" width="18.7109375" customWidth="1"/>
    <col min="15" max="15" width="22.7109375" customWidth="1"/>
    <col min="16" max="20" width="12.7109375" customWidth="1"/>
  </cols>
  <sheetData>
    <row r="1" spans="1:20" x14ac:dyDescent="0.25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53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52</v>
      </c>
      <c r="Q1" t="s">
        <v>75</v>
      </c>
      <c r="R1" t="s">
        <v>76</v>
      </c>
      <c r="S1" t="s">
        <v>77</v>
      </c>
      <c r="T1" t="s">
        <v>78</v>
      </c>
    </row>
    <row r="2" spans="1:20" x14ac:dyDescent="0.25">
      <c r="A2">
        <f>ROW()-1</f>
        <v>1</v>
      </c>
      <c r="B2" s="7"/>
      <c r="F2" t="str">
        <f>IF(AND(Matches[[#This Row],[Team A]]="",Matches[[#This Row],[Team B]]=""),"",Matches[[#This Row],[Team A]]&amp;" vs "&amp;Matches[[#This Row],[Team B]])</f>
        <v/>
      </c>
      <c r="R2" s="6"/>
      <c r="T2" s="6"/>
    </row>
    <row r="3" spans="1:20" x14ac:dyDescent="0.25">
      <c r="B3" s="7"/>
      <c r="R3" s="6"/>
      <c r="T3" s="6"/>
    </row>
    <row r="4" spans="1:20" x14ac:dyDescent="0.25">
      <c r="B4" s="7"/>
      <c r="R4" s="6"/>
      <c r="T4" s="6"/>
    </row>
    <row r="5" spans="1:20" x14ac:dyDescent="0.25">
      <c r="B5" s="7"/>
      <c r="R5" s="6"/>
      <c r="T5" s="6"/>
    </row>
    <row r="6" spans="1:20" x14ac:dyDescent="0.25">
      <c r="B6" s="7"/>
      <c r="R6" s="6"/>
      <c r="T6" s="6"/>
    </row>
    <row r="7" spans="1:20" x14ac:dyDescent="0.25">
      <c r="B7" s="7"/>
      <c r="R7" s="6"/>
      <c r="T7" s="6"/>
    </row>
    <row r="8" spans="1:20" x14ac:dyDescent="0.25">
      <c r="B8" s="7"/>
      <c r="R8" s="6"/>
      <c r="T8" s="6"/>
    </row>
    <row r="9" spans="1:20" x14ac:dyDescent="0.25">
      <c r="B9" s="7"/>
      <c r="R9" s="6"/>
      <c r="T9" s="6"/>
    </row>
    <row r="10" spans="1:20" x14ac:dyDescent="0.25">
      <c r="B10" s="7"/>
      <c r="R10" s="6"/>
      <c r="T10" s="6"/>
    </row>
    <row r="11" spans="1:20" x14ac:dyDescent="0.25">
      <c r="B11" s="7"/>
      <c r="R11" s="6"/>
      <c r="T11" s="6"/>
    </row>
    <row r="12" spans="1:20" x14ac:dyDescent="0.25">
      <c r="B12" s="7"/>
      <c r="R12" s="6"/>
      <c r="T12" s="6"/>
    </row>
    <row r="13" spans="1:20" x14ac:dyDescent="0.25">
      <c r="B13" s="7"/>
      <c r="R13" s="6"/>
      <c r="T13" s="6"/>
    </row>
    <row r="14" spans="1:20" x14ac:dyDescent="0.25">
      <c r="B14" s="7"/>
      <c r="R14" s="6"/>
      <c r="T14" s="6"/>
    </row>
    <row r="15" spans="1:20" x14ac:dyDescent="0.25">
      <c r="B15" s="7"/>
      <c r="R15" s="6"/>
      <c r="T15" s="6"/>
    </row>
    <row r="16" spans="1:20" x14ac:dyDescent="0.25">
      <c r="B16" s="7"/>
      <c r="R16" s="6"/>
      <c r="T16" s="6"/>
    </row>
    <row r="17" spans="2:20" x14ac:dyDescent="0.25">
      <c r="B17" s="7"/>
      <c r="R17" s="6"/>
      <c r="T17" s="6"/>
    </row>
    <row r="18" spans="2:20" x14ac:dyDescent="0.25">
      <c r="B18" s="7"/>
      <c r="R18" s="6"/>
      <c r="T18" s="6"/>
    </row>
    <row r="19" spans="2:20" x14ac:dyDescent="0.25">
      <c r="B19" s="7"/>
      <c r="R19" s="6"/>
      <c r="T19" s="6"/>
    </row>
    <row r="20" spans="2:20" x14ac:dyDescent="0.25">
      <c r="B20" s="7"/>
      <c r="R20" s="6"/>
      <c r="T20" s="6"/>
    </row>
    <row r="21" spans="2:20" x14ac:dyDescent="0.25">
      <c r="B21" s="7"/>
      <c r="R21" s="6"/>
      <c r="T21" s="6"/>
    </row>
    <row r="22" spans="2:20" x14ac:dyDescent="0.25">
      <c r="B22" s="7"/>
      <c r="R22" s="6"/>
      <c r="T22" s="6"/>
    </row>
    <row r="23" spans="2:20" x14ac:dyDescent="0.25">
      <c r="B23" s="7"/>
      <c r="R23" s="6"/>
      <c r="T23" s="6"/>
    </row>
    <row r="24" spans="2:20" x14ac:dyDescent="0.25">
      <c r="B24" s="7"/>
      <c r="R24" s="6"/>
      <c r="T24" s="6"/>
    </row>
    <row r="25" spans="2:20" x14ac:dyDescent="0.25">
      <c r="B25" s="7"/>
      <c r="R25" s="6"/>
      <c r="T25" s="6"/>
    </row>
    <row r="26" spans="2:20" x14ac:dyDescent="0.25">
      <c r="B26" s="7"/>
      <c r="R26" s="6"/>
      <c r="T26" s="6"/>
    </row>
    <row r="27" spans="2:20" x14ac:dyDescent="0.25">
      <c r="B27" s="7"/>
      <c r="R27" s="6"/>
      <c r="T27" s="6"/>
    </row>
    <row r="28" spans="2:20" x14ac:dyDescent="0.25">
      <c r="B28" s="7"/>
      <c r="R28" s="6"/>
      <c r="T28" s="6"/>
    </row>
    <row r="29" spans="2:20" x14ac:dyDescent="0.25">
      <c r="B29" s="7"/>
      <c r="R29" s="6"/>
      <c r="T29" s="6"/>
    </row>
    <row r="30" spans="2:20" x14ac:dyDescent="0.25">
      <c r="B30" s="7"/>
      <c r="R30" s="6"/>
      <c r="T30" s="6"/>
    </row>
    <row r="31" spans="2:20" x14ac:dyDescent="0.25">
      <c r="B31" s="7"/>
      <c r="R31" s="6"/>
      <c r="T31" s="6"/>
    </row>
    <row r="32" spans="2:20" x14ac:dyDescent="0.25">
      <c r="B32" s="7"/>
      <c r="R32" s="6"/>
      <c r="T32" s="6"/>
    </row>
    <row r="33" spans="2:20" x14ac:dyDescent="0.25">
      <c r="B33" s="7"/>
      <c r="R33" s="6"/>
      <c r="T33" s="6"/>
    </row>
    <row r="34" spans="2:20" x14ac:dyDescent="0.25">
      <c r="B34" s="7"/>
      <c r="R34" s="6"/>
      <c r="T34" s="6"/>
    </row>
    <row r="35" spans="2:20" x14ac:dyDescent="0.25">
      <c r="B35" s="7"/>
      <c r="R35" s="6"/>
      <c r="T35" s="6"/>
    </row>
    <row r="36" spans="2:20" x14ac:dyDescent="0.25">
      <c r="B36" s="7"/>
      <c r="R36" s="6"/>
      <c r="T36" s="6"/>
    </row>
    <row r="37" spans="2:20" x14ac:dyDescent="0.25">
      <c r="B37" s="7"/>
      <c r="R37" s="6"/>
      <c r="T37" s="6"/>
    </row>
    <row r="38" spans="2:20" x14ac:dyDescent="0.25">
      <c r="B38" s="7"/>
      <c r="R38" s="6"/>
      <c r="T38" s="6"/>
    </row>
    <row r="39" spans="2:20" x14ac:dyDescent="0.25">
      <c r="B39" s="7"/>
      <c r="R39" s="6"/>
      <c r="T39" s="6"/>
    </row>
    <row r="40" spans="2:20" x14ac:dyDescent="0.25">
      <c r="B40" s="7"/>
      <c r="R40" s="6"/>
      <c r="T40" s="6"/>
    </row>
    <row r="41" spans="2:20" x14ac:dyDescent="0.25">
      <c r="B41" s="7"/>
      <c r="R41" s="6"/>
      <c r="T41" s="6"/>
    </row>
    <row r="42" spans="2:20" x14ac:dyDescent="0.25">
      <c r="B42" s="7"/>
      <c r="R42" s="6"/>
      <c r="T42" s="6"/>
    </row>
    <row r="43" spans="2:20" x14ac:dyDescent="0.25">
      <c r="B43" s="7"/>
      <c r="R43" s="6"/>
      <c r="T43" s="6"/>
    </row>
    <row r="44" spans="2:20" x14ac:dyDescent="0.25">
      <c r="B44" s="7"/>
      <c r="R44" s="6"/>
      <c r="T44" s="6"/>
    </row>
    <row r="45" spans="2:20" x14ac:dyDescent="0.25">
      <c r="B45" s="7"/>
      <c r="R45" s="6"/>
      <c r="T45" s="6"/>
    </row>
    <row r="46" spans="2:20" x14ac:dyDescent="0.25">
      <c r="B46" s="7"/>
      <c r="R46" s="6"/>
      <c r="T46" s="6"/>
    </row>
    <row r="47" spans="2:20" x14ac:dyDescent="0.25">
      <c r="B47" s="7"/>
      <c r="R47" s="6"/>
      <c r="T47" s="6"/>
    </row>
    <row r="48" spans="2:20" x14ac:dyDescent="0.25">
      <c r="B48" s="7"/>
      <c r="R48" s="6"/>
      <c r="T48" s="6"/>
    </row>
    <row r="49" spans="2:20" x14ac:dyDescent="0.25">
      <c r="B49" s="7"/>
      <c r="R49" s="6"/>
      <c r="T49" s="6"/>
    </row>
    <row r="50" spans="2:20" x14ac:dyDescent="0.25">
      <c r="B50" s="7"/>
      <c r="R50" s="6"/>
      <c r="T50" s="6"/>
    </row>
    <row r="51" spans="2:20" x14ac:dyDescent="0.25">
      <c r="B51" s="7"/>
      <c r="R51" s="6"/>
      <c r="T51" s="6"/>
    </row>
    <row r="52" spans="2:20" x14ac:dyDescent="0.25">
      <c r="B52" s="7"/>
      <c r="R52" s="6"/>
      <c r="T52" s="6"/>
    </row>
    <row r="53" spans="2:20" x14ac:dyDescent="0.25">
      <c r="B53" s="7"/>
      <c r="R53" s="6"/>
      <c r="T53" s="6"/>
    </row>
    <row r="54" spans="2:20" x14ac:dyDescent="0.25">
      <c r="B54" s="7"/>
      <c r="R54" s="6"/>
      <c r="T54" s="6"/>
    </row>
    <row r="55" spans="2:20" x14ac:dyDescent="0.25">
      <c r="B55" s="7"/>
      <c r="R55" s="6"/>
      <c r="T55" s="6"/>
    </row>
    <row r="56" spans="2:20" x14ac:dyDescent="0.25">
      <c r="B56" s="7"/>
      <c r="R56" s="6"/>
      <c r="T56" s="6"/>
    </row>
    <row r="57" spans="2:20" x14ac:dyDescent="0.25">
      <c r="B57" s="7"/>
      <c r="R57" s="6"/>
      <c r="T57" s="6"/>
    </row>
    <row r="58" spans="2:20" x14ac:dyDescent="0.25">
      <c r="B58" s="7"/>
      <c r="R58" s="6"/>
      <c r="T58" s="6"/>
    </row>
    <row r="59" spans="2:20" x14ac:dyDescent="0.25">
      <c r="B59" s="7"/>
      <c r="R59" s="6"/>
      <c r="T59" s="6"/>
    </row>
    <row r="60" spans="2:20" x14ac:dyDescent="0.25">
      <c r="B60" s="7"/>
      <c r="R60" s="6"/>
      <c r="T60" s="6"/>
    </row>
    <row r="61" spans="2:20" x14ac:dyDescent="0.25">
      <c r="B61" s="7"/>
      <c r="R61" s="6"/>
      <c r="T61" s="6"/>
    </row>
    <row r="62" spans="2:20" x14ac:dyDescent="0.25">
      <c r="B62" s="7"/>
      <c r="R62" s="6"/>
      <c r="T62" s="6"/>
    </row>
    <row r="63" spans="2:20" x14ac:dyDescent="0.25">
      <c r="B63" s="7"/>
      <c r="R63" s="6"/>
      <c r="T63" s="6"/>
    </row>
    <row r="64" spans="2:20" x14ac:dyDescent="0.25">
      <c r="B64" s="7"/>
      <c r="R64" s="6"/>
      <c r="T64" s="6"/>
    </row>
    <row r="65" spans="2:20" x14ac:dyDescent="0.25">
      <c r="B65" s="7"/>
      <c r="R65" s="6"/>
      <c r="T65" s="6"/>
    </row>
    <row r="66" spans="2:20" x14ac:dyDescent="0.25">
      <c r="B66" s="7"/>
      <c r="R66" s="6"/>
      <c r="T66" s="6"/>
    </row>
    <row r="67" spans="2:20" x14ac:dyDescent="0.25">
      <c r="B67" s="7"/>
      <c r="R67" s="6"/>
      <c r="T67" s="6"/>
    </row>
    <row r="68" spans="2:20" x14ac:dyDescent="0.25">
      <c r="B68" s="7"/>
      <c r="R68" s="6"/>
      <c r="T68" s="6"/>
    </row>
    <row r="69" spans="2:20" x14ac:dyDescent="0.25">
      <c r="B69" s="7"/>
      <c r="R69" s="6"/>
      <c r="T69" s="6"/>
    </row>
    <row r="70" spans="2:20" x14ac:dyDescent="0.25">
      <c r="B70" s="7"/>
      <c r="R70" s="6"/>
      <c r="T70" s="6"/>
    </row>
    <row r="71" spans="2:20" x14ac:dyDescent="0.25">
      <c r="B71" s="7"/>
      <c r="R71" s="6"/>
      <c r="T71" s="6"/>
    </row>
    <row r="72" spans="2:20" x14ac:dyDescent="0.25">
      <c r="B72" s="7"/>
      <c r="R72" s="6"/>
      <c r="T72" s="6"/>
    </row>
    <row r="73" spans="2:20" x14ac:dyDescent="0.25">
      <c r="B73" s="7"/>
      <c r="R73" s="6"/>
      <c r="T73" s="6"/>
    </row>
    <row r="74" spans="2:20" x14ac:dyDescent="0.25">
      <c r="B74" s="7"/>
      <c r="R74" s="6"/>
      <c r="T74" s="6"/>
    </row>
    <row r="75" spans="2:20" x14ac:dyDescent="0.25">
      <c r="B75" s="7"/>
      <c r="R75" s="6"/>
      <c r="T75" s="6"/>
    </row>
    <row r="76" spans="2:20" x14ac:dyDescent="0.25">
      <c r="B76" s="7"/>
      <c r="R76" s="6"/>
      <c r="T76" s="6"/>
    </row>
    <row r="77" spans="2:20" x14ac:dyDescent="0.25">
      <c r="B77" s="7"/>
      <c r="R77" s="6"/>
      <c r="T77" s="6"/>
    </row>
    <row r="78" spans="2:20" x14ac:dyDescent="0.25">
      <c r="B78" s="7"/>
      <c r="R78" s="6"/>
      <c r="T78" s="6"/>
    </row>
    <row r="79" spans="2:20" x14ac:dyDescent="0.25">
      <c r="B79" s="7"/>
      <c r="R79" s="6"/>
      <c r="T79" s="6"/>
    </row>
    <row r="80" spans="2:20" x14ac:dyDescent="0.25">
      <c r="B80" s="7"/>
      <c r="R80" s="6"/>
      <c r="T80" s="6"/>
    </row>
    <row r="81" spans="2:20" x14ac:dyDescent="0.25">
      <c r="B81" s="7"/>
      <c r="R81" s="6"/>
      <c r="T81" s="6"/>
    </row>
    <row r="82" spans="2:20" x14ac:dyDescent="0.25">
      <c r="B82" s="7"/>
      <c r="R82" s="6"/>
      <c r="T82" s="6"/>
    </row>
    <row r="83" spans="2:20" x14ac:dyDescent="0.25">
      <c r="B83" s="7"/>
      <c r="R83" s="6"/>
      <c r="T83" s="6"/>
    </row>
    <row r="84" spans="2:20" x14ac:dyDescent="0.25">
      <c r="B84" s="7"/>
      <c r="R84" s="6"/>
      <c r="T84" s="6"/>
    </row>
    <row r="85" spans="2:20" x14ac:dyDescent="0.25">
      <c r="B85" s="7"/>
      <c r="R85" s="6"/>
      <c r="T85" s="6"/>
    </row>
    <row r="86" spans="2:20" x14ac:dyDescent="0.25">
      <c r="B86" s="7"/>
      <c r="R86" s="6"/>
      <c r="T86" s="6"/>
    </row>
    <row r="87" spans="2:20" x14ac:dyDescent="0.25">
      <c r="B87" s="7"/>
      <c r="R87" s="6"/>
      <c r="T87" s="6"/>
    </row>
    <row r="88" spans="2:20" x14ac:dyDescent="0.25">
      <c r="B88" s="7"/>
      <c r="R88" s="6"/>
      <c r="T88" s="6"/>
    </row>
    <row r="89" spans="2:20" x14ac:dyDescent="0.25">
      <c r="B89" s="7"/>
      <c r="R89" s="6"/>
      <c r="T89" s="6"/>
    </row>
    <row r="90" spans="2:20" x14ac:dyDescent="0.25">
      <c r="B90" s="7"/>
      <c r="R90" s="6"/>
      <c r="T90" s="6"/>
    </row>
    <row r="91" spans="2:20" x14ac:dyDescent="0.25">
      <c r="B91" s="7"/>
      <c r="R91" s="6"/>
      <c r="T91" s="6"/>
    </row>
    <row r="92" spans="2:20" x14ac:dyDescent="0.25">
      <c r="B92" s="7"/>
      <c r="R92" s="6"/>
      <c r="T92" s="6"/>
    </row>
    <row r="93" spans="2:20" x14ac:dyDescent="0.25">
      <c r="B93" s="7"/>
      <c r="R93" s="6"/>
      <c r="T93" s="6"/>
    </row>
    <row r="94" spans="2:20" x14ac:dyDescent="0.25">
      <c r="B94" s="7"/>
      <c r="R94" s="6"/>
      <c r="T94" s="6"/>
    </row>
    <row r="95" spans="2:20" x14ac:dyDescent="0.25">
      <c r="B95" s="7"/>
      <c r="R95" s="6"/>
      <c r="T95" s="6"/>
    </row>
    <row r="96" spans="2:20" x14ac:dyDescent="0.25">
      <c r="B96" s="7"/>
      <c r="R96" s="6"/>
      <c r="T96" s="6"/>
    </row>
    <row r="97" spans="2:20" x14ac:dyDescent="0.25">
      <c r="B97" s="7"/>
      <c r="R97" s="6"/>
      <c r="T97" s="6"/>
    </row>
    <row r="98" spans="2:20" x14ac:dyDescent="0.25">
      <c r="B98" s="7"/>
      <c r="R98" s="6"/>
      <c r="T98" s="6"/>
    </row>
    <row r="99" spans="2:20" x14ac:dyDescent="0.25">
      <c r="B99" s="7"/>
      <c r="R99" s="6"/>
      <c r="T99" s="6"/>
    </row>
    <row r="100" spans="2:20" x14ac:dyDescent="0.25">
      <c r="B100" s="7"/>
      <c r="R100" s="6"/>
      <c r="T100" s="6"/>
    </row>
    <row r="101" spans="2:20" x14ac:dyDescent="0.25">
      <c r="B101" s="7"/>
      <c r="R101" s="6"/>
      <c r="T101" s="6"/>
    </row>
    <row r="102" spans="2:20" x14ac:dyDescent="0.25">
      <c r="B102" s="7"/>
      <c r="R102" s="6"/>
      <c r="T102" s="6"/>
    </row>
    <row r="103" spans="2:20" x14ac:dyDescent="0.25">
      <c r="B103" s="7"/>
      <c r="R103" s="6"/>
      <c r="T103" s="6"/>
    </row>
    <row r="104" spans="2:20" x14ac:dyDescent="0.25">
      <c r="B104" s="7"/>
      <c r="R104" s="6"/>
      <c r="T104" s="6"/>
    </row>
    <row r="105" spans="2:20" x14ac:dyDescent="0.25">
      <c r="B105" s="7"/>
      <c r="R105" s="6"/>
      <c r="T105" s="6"/>
    </row>
    <row r="106" spans="2:20" x14ac:dyDescent="0.25">
      <c r="B106" s="7"/>
      <c r="R106" s="6"/>
      <c r="T106" s="6"/>
    </row>
    <row r="107" spans="2:20" x14ac:dyDescent="0.25">
      <c r="B107" s="7"/>
      <c r="R107" s="6"/>
      <c r="T107" s="6"/>
    </row>
    <row r="108" spans="2:20" x14ac:dyDescent="0.25">
      <c r="B108" s="7"/>
      <c r="R108" s="6"/>
      <c r="T108" s="6"/>
    </row>
    <row r="109" spans="2:20" x14ac:dyDescent="0.25">
      <c r="B109" s="7"/>
      <c r="R109" s="6"/>
      <c r="T109" s="6"/>
    </row>
    <row r="110" spans="2:20" x14ac:dyDescent="0.25">
      <c r="B110" s="7"/>
      <c r="R110" s="6"/>
      <c r="T110" s="6"/>
    </row>
    <row r="111" spans="2:20" x14ac:dyDescent="0.25">
      <c r="B111" s="7"/>
      <c r="R111" s="6"/>
      <c r="T111" s="6"/>
    </row>
    <row r="112" spans="2:20" x14ac:dyDescent="0.25">
      <c r="B112" s="7"/>
      <c r="R112" s="6"/>
      <c r="T112" s="6"/>
    </row>
    <row r="113" spans="2:20" x14ac:dyDescent="0.25">
      <c r="B113" s="7"/>
      <c r="R113" s="6"/>
      <c r="T113" s="6"/>
    </row>
    <row r="114" spans="2:20" x14ac:dyDescent="0.25">
      <c r="B114" s="7"/>
      <c r="R114" s="6"/>
      <c r="T114" s="6"/>
    </row>
    <row r="115" spans="2:20" x14ac:dyDescent="0.25">
      <c r="B115" s="7"/>
      <c r="R115" s="6"/>
      <c r="T115" s="6"/>
    </row>
    <row r="116" spans="2:20" x14ac:dyDescent="0.25">
      <c r="B116" s="7"/>
      <c r="R116" s="6"/>
      <c r="T116" s="6"/>
    </row>
    <row r="117" spans="2:20" x14ac:dyDescent="0.25">
      <c r="B117" s="7"/>
      <c r="R117" s="6"/>
      <c r="T117" s="6"/>
    </row>
    <row r="118" spans="2:20" x14ac:dyDescent="0.25">
      <c r="B118" s="7"/>
      <c r="R118" s="6"/>
      <c r="T118" s="6"/>
    </row>
    <row r="119" spans="2:20" x14ac:dyDescent="0.25">
      <c r="B119" s="7"/>
      <c r="R119" s="6"/>
      <c r="T119" s="6"/>
    </row>
    <row r="120" spans="2:20" x14ac:dyDescent="0.25">
      <c r="B120" s="7"/>
      <c r="R120" s="6"/>
      <c r="T120" s="6"/>
    </row>
    <row r="121" spans="2:20" x14ac:dyDescent="0.25">
      <c r="B121" s="7"/>
      <c r="R121" s="6"/>
      <c r="T121" s="6"/>
    </row>
    <row r="122" spans="2:20" x14ac:dyDescent="0.25">
      <c r="B122" s="7"/>
      <c r="R122" s="6"/>
      <c r="T122" s="6"/>
    </row>
    <row r="123" spans="2:20" x14ac:dyDescent="0.25">
      <c r="B123" s="7"/>
      <c r="R123" s="6"/>
      <c r="T123" s="6"/>
    </row>
    <row r="124" spans="2:20" x14ac:dyDescent="0.25">
      <c r="B124" s="7"/>
      <c r="R124" s="6"/>
      <c r="T124" s="6"/>
    </row>
    <row r="125" spans="2:20" x14ac:dyDescent="0.25">
      <c r="B125" s="7"/>
      <c r="R125" s="6"/>
      <c r="T125" s="6"/>
    </row>
    <row r="126" spans="2:20" x14ac:dyDescent="0.25">
      <c r="B126" s="7"/>
      <c r="R126" s="6"/>
      <c r="T126" s="6"/>
    </row>
    <row r="127" spans="2:20" x14ac:dyDescent="0.25">
      <c r="B127" s="7"/>
      <c r="R127" s="6"/>
      <c r="T127" s="6"/>
    </row>
    <row r="128" spans="2:20" x14ac:dyDescent="0.25">
      <c r="B128" s="7"/>
      <c r="R128" s="6"/>
      <c r="T128" s="6"/>
    </row>
    <row r="129" spans="2:20" x14ac:dyDescent="0.25">
      <c r="B129" s="7"/>
      <c r="R129" s="6"/>
      <c r="T129" s="6"/>
    </row>
    <row r="130" spans="2:20" x14ac:dyDescent="0.25">
      <c r="B130" s="7"/>
      <c r="R130" s="6"/>
      <c r="T130" s="6"/>
    </row>
    <row r="131" spans="2:20" x14ac:dyDescent="0.25">
      <c r="B131" s="7"/>
      <c r="R131" s="6"/>
      <c r="T131" s="6"/>
    </row>
    <row r="132" spans="2:20" x14ac:dyDescent="0.25">
      <c r="B132" s="7"/>
      <c r="R132" s="6"/>
      <c r="T132" s="6"/>
    </row>
    <row r="133" spans="2:20" x14ac:dyDescent="0.25">
      <c r="B133" s="7"/>
      <c r="R133" s="6"/>
      <c r="T133" s="6"/>
    </row>
    <row r="134" spans="2:20" x14ac:dyDescent="0.25">
      <c r="B134" s="7"/>
      <c r="R134" s="6"/>
      <c r="T134" s="6"/>
    </row>
    <row r="135" spans="2:20" x14ac:dyDescent="0.25">
      <c r="B135" s="7"/>
      <c r="R135" s="6"/>
      <c r="T135" s="6"/>
    </row>
    <row r="136" spans="2:20" x14ac:dyDescent="0.25">
      <c r="B136" s="7"/>
      <c r="R136" s="6"/>
      <c r="T136" s="6"/>
    </row>
    <row r="137" spans="2:20" x14ac:dyDescent="0.25">
      <c r="B137" s="7"/>
      <c r="R137" s="6"/>
      <c r="T137" s="6"/>
    </row>
    <row r="138" spans="2:20" x14ac:dyDescent="0.25">
      <c r="B138" s="7"/>
      <c r="R138" s="6"/>
      <c r="T138" s="6"/>
    </row>
    <row r="139" spans="2:20" x14ac:dyDescent="0.25">
      <c r="B139" s="7"/>
      <c r="R139" s="6"/>
      <c r="T139" s="6"/>
    </row>
    <row r="140" spans="2:20" x14ac:dyDescent="0.25">
      <c r="B140" s="7"/>
      <c r="R140" s="6"/>
      <c r="T140" s="6"/>
    </row>
    <row r="141" spans="2:20" x14ac:dyDescent="0.25">
      <c r="B141" s="7"/>
      <c r="R141" s="6"/>
      <c r="T141" s="6"/>
    </row>
    <row r="142" spans="2:20" x14ac:dyDescent="0.25">
      <c r="B142" s="7"/>
      <c r="R142" s="6"/>
      <c r="T142" s="6"/>
    </row>
    <row r="143" spans="2:20" x14ac:dyDescent="0.25">
      <c r="B143" s="7"/>
      <c r="R143" s="6"/>
      <c r="T143" s="6"/>
    </row>
    <row r="144" spans="2:20" x14ac:dyDescent="0.25">
      <c r="B144" s="7"/>
      <c r="R144" s="6"/>
      <c r="T144" s="6"/>
    </row>
    <row r="145" spans="2:20" x14ac:dyDescent="0.25">
      <c r="B145" s="7"/>
      <c r="R145" s="6"/>
      <c r="T145" s="6"/>
    </row>
    <row r="146" spans="2:20" x14ac:dyDescent="0.25">
      <c r="B146" s="7"/>
      <c r="R146" s="6"/>
      <c r="T146" s="6"/>
    </row>
    <row r="147" spans="2:20" x14ac:dyDescent="0.25">
      <c r="B147" s="7"/>
      <c r="R147" s="6"/>
      <c r="T147" s="6"/>
    </row>
    <row r="148" spans="2:20" x14ac:dyDescent="0.25">
      <c r="B148" s="7"/>
      <c r="R148" s="6"/>
      <c r="T148" s="6"/>
    </row>
    <row r="149" spans="2:20" x14ac:dyDescent="0.25">
      <c r="B149" s="7"/>
      <c r="R149" s="6"/>
      <c r="T149" s="6"/>
    </row>
    <row r="150" spans="2:20" x14ac:dyDescent="0.25">
      <c r="B150" s="7"/>
      <c r="R150" s="6"/>
      <c r="T150" s="6"/>
    </row>
    <row r="151" spans="2:20" x14ac:dyDescent="0.25">
      <c r="B151" s="7"/>
      <c r="R151" s="6"/>
      <c r="T151" s="6"/>
    </row>
    <row r="152" spans="2:20" x14ac:dyDescent="0.25">
      <c r="B152" s="7"/>
      <c r="R152" s="6"/>
      <c r="T152" s="6"/>
    </row>
    <row r="153" spans="2:20" x14ac:dyDescent="0.25">
      <c r="B153" s="7"/>
      <c r="R153" s="6"/>
      <c r="T153" s="6"/>
    </row>
    <row r="154" spans="2:20" x14ac:dyDescent="0.25">
      <c r="B154" s="7"/>
      <c r="R154" s="6"/>
      <c r="T154" s="6"/>
    </row>
    <row r="155" spans="2:20" x14ac:dyDescent="0.25">
      <c r="B155" s="7"/>
      <c r="R155" s="6"/>
      <c r="T155" s="6"/>
    </row>
    <row r="156" spans="2:20" x14ac:dyDescent="0.25">
      <c r="B156" s="7"/>
      <c r="R156" s="6"/>
      <c r="T156" s="6"/>
    </row>
    <row r="157" spans="2:20" x14ac:dyDescent="0.25">
      <c r="B157" s="7"/>
      <c r="R157" s="6"/>
      <c r="T157" s="6"/>
    </row>
    <row r="158" spans="2:20" x14ac:dyDescent="0.25">
      <c r="B158" s="7"/>
      <c r="R158" s="6"/>
      <c r="T158" s="6"/>
    </row>
    <row r="159" spans="2:20" x14ac:dyDescent="0.25">
      <c r="B159" s="7"/>
      <c r="R159" s="6"/>
      <c r="T159" s="6"/>
    </row>
    <row r="160" spans="2:20" x14ac:dyDescent="0.25">
      <c r="B160" s="7"/>
      <c r="R160" s="6"/>
      <c r="T160" s="6"/>
    </row>
    <row r="161" spans="2:20" x14ac:dyDescent="0.25">
      <c r="B161" s="7"/>
      <c r="R161" s="6"/>
      <c r="T161" s="6"/>
    </row>
    <row r="162" spans="2:20" x14ac:dyDescent="0.25">
      <c r="B162" s="7"/>
      <c r="R162" s="6"/>
      <c r="T162" s="6"/>
    </row>
    <row r="163" spans="2:20" x14ac:dyDescent="0.25">
      <c r="B163" s="7"/>
      <c r="R163" s="6"/>
      <c r="T163" s="6"/>
    </row>
    <row r="164" spans="2:20" x14ac:dyDescent="0.25">
      <c r="B164" s="7"/>
      <c r="R164" s="6"/>
      <c r="T164" s="6"/>
    </row>
    <row r="165" spans="2:20" x14ac:dyDescent="0.25">
      <c r="B165" s="7"/>
      <c r="R165" s="6"/>
      <c r="T165" s="6"/>
    </row>
    <row r="166" spans="2:20" x14ac:dyDescent="0.25">
      <c r="B166" s="7"/>
      <c r="R166" s="6"/>
      <c r="T166" s="6"/>
    </row>
    <row r="167" spans="2:20" x14ac:dyDescent="0.25">
      <c r="B167" s="7"/>
      <c r="R167" s="6"/>
      <c r="T167" s="6"/>
    </row>
    <row r="168" spans="2:20" x14ac:dyDescent="0.25">
      <c r="B168" s="7"/>
      <c r="R168" s="6"/>
      <c r="T168" s="6"/>
    </row>
    <row r="169" spans="2:20" x14ac:dyDescent="0.25">
      <c r="B169" s="7"/>
      <c r="R169" s="6"/>
      <c r="T169" s="6"/>
    </row>
    <row r="170" spans="2:20" x14ac:dyDescent="0.25">
      <c r="B170" s="7"/>
      <c r="R170" s="6"/>
      <c r="T170" s="6"/>
    </row>
    <row r="171" spans="2:20" x14ac:dyDescent="0.25">
      <c r="B171" s="7"/>
      <c r="R171" s="6"/>
      <c r="T171" s="6"/>
    </row>
    <row r="172" spans="2:20" x14ac:dyDescent="0.25">
      <c r="B172" s="7"/>
      <c r="R172" s="6"/>
      <c r="T172" s="6"/>
    </row>
    <row r="173" spans="2:20" x14ac:dyDescent="0.25">
      <c r="B173" s="7"/>
      <c r="R173" s="6"/>
      <c r="T173" s="6"/>
    </row>
    <row r="174" spans="2:20" x14ac:dyDescent="0.25">
      <c r="B174" s="7"/>
      <c r="R174" s="6"/>
      <c r="T174" s="6"/>
    </row>
    <row r="175" spans="2:20" x14ac:dyDescent="0.25">
      <c r="B175" s="7"/>
      <c r="R175" s="6"/>
      <c r="T175" s="6"/>
    </row>
    <row r="176" spans="2:20" x14ac:dyDescent="0.25">
      <c r="B176" s="7"/>
      <c r="R176" s="6"/>
      <c r="T176" s="6"/>
    </row>
    <row r="177" spans="2:20" x14ac:dyDescent="0.25">
      <c r="B177" s="7"/>
      <c r="R177" s="6"/>
      <c r="T177" s="6"/>
    </row>
    <row r="178" spans="2:20" x14ac:dyDescent="0.25">
      <c r="B178" s="7"/>
      <c r="R178" s="6"/>
      <c r="T178" s="6"/>
    </row>
    <row r="179" spans="2:20" x14ac:dyDescent="0.25">
      <c r="B179" s="7"/>
      <c r="R179" s="6"/>
      <c r="T179" s="6"/>
    </row>
    <row r="180" spans="2:20" x14ac:dyDescent="0.25">
      <c r="B180" s="7"/>
      <c r="R180" s="6"/>
      <c r="T180" s="6"/>
    </row>
    <row r="181" spans="2:20" x14ac:dyDescent="0.25">
      <c r="B181" s="7"/>
      <c r="R181" s="6"/>
      <c r="T181" s="6"/>
    </row>
    <row r="182" spans="2:20" x14ac:dyDescent="0.25">
      <c r="B182" s="7"/>
      <c r="R182" s="6"/>
      <c r="T182" s="6"/>
    </row>
    <row r="183" spans="2:20" x14ac:dyDescent="0.25">
      <c r="B183" s="7"/>
      <c r="R183" s="6"/>
      <c r="T183" s="6"/>
    </row>
    <row r="184" spans="2:20" x14ac:dyDescent="0.25">
      <c r="B184" s="7"/>
      <c r="R184" s="6"/>
      <c r="T184" s="6"/>
    </row>
    <row r="185" spans="2:20" x14ac:dyDescent="0.25">
      <c r="B185" s="7"/>
      <c r="R185" s="6"/>
      <c r="T185" s="6"/>
    </row>
    <row r="186" spans="2:20" x14ac:dyDescent="0.25">
      <c r="B186" s="7"/>
      <c r="R186" s="6"/>
      <c r="T186" s="6"/>
    </row>
    <row r="187" spans="2:20" x14ac:dyDescent="0.25">
      <c r="B187" s="7"/>
      <c r="R187" s="6"/>
      <c r="T187" s="6"/>
    </row>
    <row r="188" spans="2:20" x14ac:dyDescent="0.25">
      <c r="B188" s="7"/>
      <c r="R188" s="6"/>
      <c r="T188" s="6"/>
    </row>
    <row r="189" spans="2:20" x14ac:dyDescent="0.25">
      <c r="B189" s="7"/>
      <c r="R189" s="6"/>
      <c r="T189" s="6"/>
    </row>
    <row r="190" spans="2:20" x14ac:dyDescent="0.25">
      <c r="B190" s="7"/>
      <c r="R190" s="6"/>
      <c r="T190" s="6"/>
    </row>
    <row r="191" spans="2:20" x14ac:dyDescent="0.25">
      <c r="B191" s="7"/>
      <c r="R191" s="6"/>
      <c r="T191" s="6"/>
    </row>
    <row r="192" spans="2:20" x14ac:dyDescent="0.25">
      <c r="B192" s="7"/>
      <c r="R192" s="6"/>
      <c r="T192" s="6"/>
    </row>
    <row r="193" spans="2:20" x14ac:dyDescent="0.25">
      <c r="B193" s="7"/>
      <c r="R193" s="6"/>
      <c r="T193" s="6"/>
    </row>
    <row r="194" spans="2:20" x14ac:dyDescent="0.25">
      <c r="B194" s="7"/>
      <c r="R194" s="6"/>
      <c r="T194" s="6"/>
    </row>
    <row r="195" spans="2:20" x14ac:dyDescent="0.25">
      <c r="B195" s="7"/>
      <c r="R195" s="6"/>
      <c r="T195" s="6"/>
    </row>
    <row r="196" spans="2:20" x14ac:dyDescent="0.25">
      <c r="B196" s="7"/>
      <c r="R196" s="6"/>
      <c r="T196" s="6"/>
    </row>
    <row r="197" spans="2:20" x14ac:dyDescent="0.25">
      <c r="B197" s="7"/>
      <c r="R197" s="6"/>
      <c r="T197" s="6"/>
    </row>
    <row r="198" spans="2:20" x14ac:dyDescent="0.25">
      <c r="B198" s="7"/>
      <c r="R198" s="6"/>
      <c r="T198" s="6"/>
    </row>
    <row r="199" spans="2:20" x14ac:dyDescent="0.25">
      <c r="B199" s="7"/>
      <c r="R199" s="6"/>
      <c r="T199" s="6"/>
    </row>
    <row r="200" spans="2:20" x14ac:dyDescent="0.25">
      <c r="B200" s="7"/>
      <c r="R200" s="6"/>
      <c r="T200" s="6"/>
    </row>
    <row r="201" spans="2:20" x14ac:dyDescent="0.25">
      <c r="B201" s="7"/>
      <c r="R201" s="6"/>
      <c r="T201" s="6"/>
    </row>
    <row r="202" spans="2:20" x14ac:dyDescent="0.25">
      <c r="B202" s="7"/>
      <c r="R202" s="6"/>
      <c r="T202" s="6"/>
    </row>
    <row r="203" spans="2:20" x14ac:dyDescent="0.25">
      <c r="B203" s="7"/>
      <c r="R203" s="6"/>
      <c r="T203" s="6"/>
    </row>
    <row r="204" spans="2:20" x14ac:dyDescent="0.25">
      <c r="B204" s="7"/>
      <c r="R204" s="6"/>
      <c r="T204" s="6"/>
    </row>
    <row r="205" spans="2:20" x14ac:dyDescent="0.25">
      <c r="B205" s="7"/>
      <c r="R205" s="6"/>
      <c r="T205" s="6"/>
    </row>
    <row r="206" spans="2:20" x14ac:dyDescent="0.25">
      <c r="B206" s="7"/>
      <c r="R206" s="6"/>
      <c r="T206" s="6"/>
    </row>
    <row r="207" spans="2:20" x14ac:dyDescent="0.25">
      <c r="B207" s="7"/>
      <c r="R207" s="6"/>
      <c r="T207" s="6"/>
    </row>
    <row r="208" spans="2:20" x14ac:dyDescent="0.25">
      <c r="B208" s="7"/>
      <c r="R208" s="6"/>
      <c r="T208" s="6"/>
    </row>
    <row r="209" spans="2:20" x14ac:dyDescent="0.25">
      <c r="B209" s="7"/>
      <c r="R209" s="6"/>
      <c r="T209" s="6"/>
    </row>
    <row r="210" spans="2:20" x14ac:dyDescent="0.25">
      <c r="B210" s="7"/>
      <c r="R210" s="6"/>
      <c r="T210" s="6"/>
    </row>
    <row r="211" spans="2:20" x14ac:dyDescent="0.25">
      <c r="B211" s="7"/>
      <c r="R211" s="6"/>
      <c r="T211" s="6"/>
    </row>
    <row r="212" spans="2:20" x14ac:dyDescent="0.25">
      <c r="B212" s="7"/>
      <c r="R212" s="6"/>
      <c r="T212" s="6"/>
    </row>
    <row r="213" spans="2:20" x14ac:dyDescent="0.25">
      <c r="B213" s="7"/>
      <c r="R213" s="6"/>
      <c r="T213" s="6"/>
    </row>
    <row r="214" spans="2:20" x14ac:dyDescent="0.25">
      <c r="B214" s="7"/>
      <c r="R214" s="6"/>
      <c r="T214" s="6"/>
    </row>
    <row r="215" spans="2:20" x14ac:dyDescent="0.25">
      <c r="B215" s="7"/>
      <c r="R215" s="6"/>
      <c r="T215" s="6"/>
    </row>
    <row r="216" spans="2:20" x14ac:dyDescent="0.25">
      <c r="B216" s="7"/>
      <c r="R216" s="6"/>
      <c r="T216" s="6"/>
    </row>
    <row r="217" spans="2:20" x14ac:dyDescent="0.25">
      <c r="B217" s="7"/>
      <c r="R217" s="6"/>
      <c r="T217" s="6"/>
    </row>
    <row r="218" spans="2:20" x14ac:dyDescent="0.25">
      <c r="B218" s="7"/>
      <c r="R218" s="6"/>
      <c r="T218" s="6"/>
    </row>
    <row r="219" spans="2:20" x14ac:dyDescent="0.25">
      <c r="B219" s="7"/>
      <c r="R219" s="6"/>
      <c r="T219" s="6"/>
    </row>
    <row r="220" spans="2:20" x14ac:dyDescent="0.25">
      <c r="B220" s="7"/>
      <c r="R220" s="6"/>
      <c r="T220" s="6"/>
    </row>
    <row r="221" spans="2:20" x14ac:dyDescent="0.25">
      <c r="B221" s="7"/>
      <c r="R221" s="6"/>
      <c r="T221" s="6"/>
    </row>
    <row r="222" spans="2:20" x14ac:dyDescent="0.25">
      <c r="B222" s="7"/>
      <c r="R222" s="6"/>
      <c r="T222" s="6"/>
    </row>
    <row r="223" spans="2:20" x14ac:dyDescent="0.25">
      <c r="B223" s="7"/>
      <c r="R223" s="6"/>
      <c r="T223" s="6"/>
    </row>
    <row r="224" spans="2:20" x14ac:dyDescent="0.25">
      <c r="B224" s="7"/>
      <c r="R224" s="6"/>
      <c r="T224" s="6"/>
    </row>
    <row r="225" spans="2:20" x14ac:dyDescent="0.25">
      <c r="B225" s="7"/>
      <c r="R225" s="6"/>
      <c r="T225" s="6"/>
    </row>
    <row r="226" spans="2:20" x14ac:dyDescent="0.25">
      <c r="B226" s="7"/>
      <c r="R226" s="6"/>
      <c r="T226" s="6"/>
    </row>
    <row r="227" spans="2:20" x14ac:dyDescent="0.25">
      <c r="B227" s="7"/>
      <c r="R227" s="6"/>
      <c r="T227" s="6"/>
    </row>
    <row r="228" spans="2:20" x14ac:dyDescent="0.25">
      <c r="B228" s="7"/>
      <c r="R228" s="6"/>
      <c r="T228" s="6"/>
    </row>
    <row r="229" spans="2:20" x14ac:dyDescent="0.25">
      <c r="B229" s="7"/>
      <c r="R229" s="6"/>
      <c r="T229" s="6"/>
    </row>
    <row r="230" spans="2:20" x14ac:dyDescent="0.25">
      <c r="B230" s="7"/>
      <c r="R230" s="6"/>
      <c r="T230" s="6"/>
    </row>
    <row r="231" spans="2:20" x14ac:dyDescent="0.25">
      <c r="B231" s="7"/>
      <c r="R231" s="6"/>
      <c r="T231" s="6"/>
    </row>
    <row r="232" spans="2:20" x14ac:dyDescent="0.25">
      <c r="B232" s="7"/>
      <c r="R232" s="6"/>
      <c r="T232" s="6"/>
    </row>
    <row r="233" spans="2:20" x14ac:dyDescent="0.25">
      <c r="B233" s="7"/>
      <c r="R233" s="6"/>
      <c r="T233" s="6"/>
    </row>
    <row r="234" spans="2:20" x14ac:dyDescent="0.25">
      <c r="B234" s="7"/>
      <c r="R234" s="6"/>
      <c r="T234" s="6"/>
    </row>
    <row r="235" spans="2:20" x14ac:dyDescent="0.25">
      <c r="B235" s="7"/>
      <c r="R235" s="6"/>
      <c r="T235" s="6"/>
    </row>
    <row r="236" spans="2:20" x14ac:dyDescent="0.25">
      <c r="B236" s="7"/>
      <c r="R236" s="6"/>
      <c r="T236" s="6"/>
    </row>
    <row r="237" spans="2:20" x14ac:dyDescent="0.25">
      <c r="B237" s="7"/>
      <c r="R237" s="6"/>
      <c r="T237" s="6"/>
    </row>
    <row r="238" spans="2:20" x14ac:dyDescent="0.25">
      <c r="B238" s="7"/>
      <c r="R238" s="6"/>
      <c r="T238" s="6"/>
    </row>
    <row r="239" spans="2:20" x14ac:dyDescent="0.25">
      <c r="B239" s="7"/>
      <c r="R239" s="6"/>
      <c r="T239" s="6"/>
    </row>
    <row r="240" spans="2:20" x14ac:dyDescent="0.25">
      <c r="B240" s="7"/>
      <c r="R240" s="6"/>
      <c r="T240" s="6"/>
    </row>
    <row r="241" spans="2:20" x14ac:dyDescent="0.25">
      <c r="B241" s="7"/>
      <c r="R241" s="6"/>
      <c r="T241" s="6"/>
    </row>
    <row r="242" spans="2:20" x14ac:dyDescent="0.25">
      <c r="B242" s="7"/>
      <c r="R242" s="6"/>
      <c r="T242" s="6"/>
    </row>
    <row r="243" spans="2:20" x14ac:dyDescent="0.25">
      <c r="B243" s="7"/>
      <c r="R243" s="6"/>
      <c r="T243" s="6"/>
    </row>
    <row r="244" spans="2:20" x14ac:dyDescent="0.25">
      <c r="B244" s="7"/>
      <c r="R244" s="6"/>
      <c r="T244" s="6"/>
    </row>
    <row r="245" spans="2:20" x14ac:dyDescent="0.25">
      <c r="B245" s="7"/>
      <c r="R245" s="6"/>
      <c r="T245" s="6"/>
    </row>
    <row r="246" spans="2:20" x14ac:dyDescent="0.25">
      <c r="B246" s="7"/>
      <c r="R246" s="6"/>
      <c r="T246" s="6"/>
    </row>
    <row r="247" spans="2:20" x14ac:dyDescent="0.25">
      <c r="B247" s="7"/>
      <c r="R247" s="6"/>
      <c r="T247" s="6"/>
    </row>
    <row r="248" spans="2:20" x14ac:dyDescent="0.25">
      <c r="B248" s="7"/>
      <c r="R248" s="6"/>
      <c r="T248" s="6"/>
    </row>
    <row r="249" spans="2:20" x14ac:dyDescent="0.25">
      <c r="B249" s="7"/>
      <c r="R249" s="6"/>
      <c r="T249" s="6"/>
    </row>
    <row r="250" spans="2:20" x14ac:dyDescent="0.25">
      <c r="B250" s="7"/>
      <c r="R250" s="6"/>
      <c r="T250" s="6"/>
    </row>
    <row r="251" spans="2:20" x14ac:dyDescent="0.25">
      <c r="B251" s="7"/>
      <c r="R251" s="6"/>
      <c r="T251" s="6"/>
    </row>
    <row r="252" spans="2:20" x14ac:dyDescent="0.25">
      <c r="B252" s="7"/>
      <c r="R252" s="6"/>
      <c r="T252" s="6"/>
    </row>
    <row r="253" spans="2:20" x14ac:dyDescent="0.25">
      <c r="B253" s="7"/>
      <c r="R253" s="6"/>
      <c r="T253" s="6"/>
    </row>
    <row r="254" spans="2:20" x14ac:dyDescent="0.25">
      <c r="B254" s="7"/>
      <c r="R254" s="6"/>
      <c r="T254" s="6"/>
    </row>
    <row r="255" spans="2:20" x14ac:dyDescent="0.25">
      <c r="B255" s="7"/>
      <c r="R255" s="6"/>
      <c r="T255" s="6"/>
    </row>
    <row r="256" spans="2:20" x14ac:dyDescent="0.25">
      <c r="B256" s="7"/>
      <c r="R256" s="6"/>
      <c r="T256" s="6"/>
    </row>
    <row r="257" spans="2:20" x14ac:dyDescent="0.25">
      <c r="B257" s="7"/>
      <c r="R257" s="6"/>
      <c r="T257" s="6"/>
    </row>
    <row r="258" spans="2:20" x14ac:dyDescent="0.25">
      <c r="B258" s="7"/>
      <c r="R258" s="6"/>
      <c r="T258" s="6"/>
    </row>
    <row r="259" spans="2:20" x14ac:dyDescent="0.25">
      <c r="B259" s="7"/>
      <c r="R259" s="6"/>
      <c r="T259" s="6"/>
    </row>
    <row r="260" spans="2:20" x14ac:dyDescent="0.25">
      <c r="B260" s="7"/>
      <c r="R260" s="6"/>
      <c r="T260" s="6"/>
    </row>
    <row r="261" spans="2:20" x14ac:dyDescent="0.25">
      <c r="B261" s="7"/>
      <c r="R261" s="6"/>
      <c r="T261" s="6"/>
    </row>
    <row r="262" spans="2:20" x14ac:dyDescent="0.25">
      <c r="B262" s="7"/>
      <c r="R262" s="6"/>
      <c r="T262" s="6"/>
    </row>
    <row r="263" spans="2:20" x14ac:dyDescent="0.25">
      <c r="B263" s="7"/>
      <c r="R263" s="6"/>
      <c r="T263" s="6"/>
    </row>
    <row r="264" spans="2:20" x14ac:dyDescent="0.25">
      <c r="B264" s="7"/>
      <c r="R264" s="6"/>
      <c r="T264" s="6"/>
    </row>
    <row r="265" spans="2:20" x14ac:dyDescent="0.25">
      <c r="B265" s="7"/>
      <c r="R265" s="6"/>
      <c r="T265" s="6"/>
    </row>
    <row r="266" spans="2:20" x14ac:dyDescent="0.25">
      <c r="B266" s="7"/>
      <c r="R266" s="6"/>
      <c r="T266" s="6"/>
    </row>
    <row r="267" spans="2:20" x14ac:dyDescent="0.25">
      <c r="B267" s="7"/>
      <c r="R267" s="6"/>
      <c r="T267" s="6"/>
    </row>
    <row r="268" spans="2:20" x14ac:dyDescent="0.25">
      <c r="B268" s="7"/>
      <c r="R268" s="6"/>
      <c r="T268" s="6"/>
    </row>
    <row r="269" spans="2:20" x14ac:dyDescent="0.25">
      <c r="B269" s="7"/>
      <c r="R269" s="6"/>
      <c r="T269" s="6"/>
    </row>
    <row r="270" spans="2:20" x14ac:dyDescent="0.25">
      <c r="B270" s="7"/>
      <c r="R270" s="6"/>
      <c r="T270" s="6"/>
    </row>
    <row r="271" spans="2:20" x14ac:dyDescent="0.25">
      <c r="B271" s="7"/>
      <c r="R271" s="6"/>
      <c r="T271" s="6"/>
    </row>
    <row r="272" spans="2:20" x14ac:dyDescent="0.25">
      <c r="B272" s="7"/>
      <c r="R272" s="6"/>
      <c r="T272" s="6"/>
    </row>
    <row r="273" spans="2:20" x14ac:dyDescent="0.25">
      <c r="B273" s="7"/>
      <c r="R273" s="6"/>
      <c r="T273" s="6"/>
    </row>
    <row r="274" spans="2:20" x14ac:dyDescent="0.25">
      <c r="B274" s="7"/>
      <c r="R274" s="6"/>
      <c r="T274" s="6"/>
    </row>
    <row r="275" spans="2:20" x14ac:dyDescent="0.25">
      <c r="B275" s="7"/>
      <c r="R275" s="6"/>
      <c r="T275" s="6"/>
    </row>
    <row r="276" spans="2:20" x14ac:dyDescent="0.25">
      <c r="B276" s="7"/>
      <c r="R276" s="6"/>
      <c r="T276" s="6"/>
    </row>
    <row r="277" spans="2:20" x14ac:dyDescent="0.25">
      <c r="B277" s="7"/>
      <c r="R277" s="6"/>
      <c r="T277" s="6"/>
    </row>
    <row r="278" spans="2:20" x14ac:dyDescent="0.25">
      <c r="B278" s="7"/>
      <c r="R278" s="6"/>
      <c r="T278" s="6"/>
    </row>
    <row r="279" spans="2:20" x14ac:dyDescent="0.25">
      <c r="B279" s="7"/>
      <c r="R279" s="6"/>
      <c r="T279" s="6"/>
    </row>
    <row r="280" spans="2:20" x14ac:dyDescent="0.25">
      <c r="B280" s="7"/>
      <c r="R280" s="6"/>
      <c r="T280" s="6"/>
    </row>
    <row r="281" spans="2:20" x14ac:dyDescent="0.25">
      <c r="B281" s="7"/>
      <c r="R281" s="6"/>
      <c r="T281" s="6"/>
    </row>
    <row r="282" spans="2:20" x14ac:dyDescent="0.25">
      <c r="B282" s="7"/>
      <c r="R282" s="6"/>
      <c r="T282" s="6"/>
    </row>
    <row r="283" spans="2:20" x14ac:dyDescent="0.25">
      <c r="B283" s="7"/>
      <c r="R283" s="6"/>
      <c r="T283" s="6"/>
    </row>
    <row r="284" spans="2:20" x14ac:dyDescent="0.25">
      <c r="B284" s="7"/>
      <c r="R284" s="6"/>
      <c r="T284" s="6"/>
    </row>
    <row r="285" spans="2:20" x14ac:dyDescent="0.25">
      <c r="B285" s="7"/>
      <c r="R285" s="6"/>
      <c r="T285" s="6"/>
    </row>
    <row r="286" spans="2:20" x14ac:dyDescent="0.25">
      <c r="B286" s="7"/>
      <c r="R286" s="6"/>
      <c r="T286" s="6"/>
    </row>
    <row r="287" spans="2:20" x14ac:dyDescent="0.25">
      <c r="B287" s="7"/>
      <c r="R287" s="6"/>
      <c r="T287" s="6"/>
    </row>
    <row r="288" spans="2:20" x14ac:dyDescent="0.25">
      <c r="B288" s="7"/>
      <c r="R288" s="6"/>
      <c r="T288" s="6"/>
    </row>
    <row r="289" spans="2:20" x14ac:dyDescent="0.25">
      <c r="B289" s="7"/>
      <c r="R289" s="6"/>
      <c r="T289" s="6"/>
    </row>
    <row r="290" spans="2:20" x14ac:dyDescent="0.25">
      <c r="B290" s="7"/>
      <c r="R290" s="6"/>
      <c r="T290" s="6"/>
    </row>
    <row r="291" spans="2:20" x14ac:dyDescent="0.25">
      <c r="B291" s="7"/>
      <c r="R291" s="6"/>
      <c r="T291" s="6"/>
    </row>
    <row r="292" spans="2:20" x14ac:dyDescent="0.25">
      <c r="B292" s="7"/>
      <c r="R292" s="6"/>
      <c r="T292" s="6"/>
    </row>
    <row r="293" spans="2:20" x14ac:dyDescent="0.25">
      <c r="B293" s="7"/>
      <c r="R293" s="6"/>
      <c r="T293" s="6"/>
    </row>
    <row r="294" spans="2:20" x14ac:dyDescent="0.25">
      <c r="B294" s="7"/>
      <c r="R294" s="6"/>
      <c r="T294" s="6"/>
    </row>
    <row r="295" spans="2:20" x14ac:dyDescent="0.25">
      <c r="B295" s="7"/>
      <c r="R295" s="6"/>
      <c r="T295" s="6"/>
    </row>
    <row r="296" spans="2:20" x14ac:dyDescent="0.25">
      <c r="B296" s="7"/>
      <c r="R296" s="6"/>
      <c r="T296" s="6"/>
    </row>
    <row r="297" spans="2:20" x14ac:dyDescent="0.25">
      <c r="B297" s="7"/>
      <c r="R297" s="6"/>
      <c r="T297" s="6"/>
    </row>
    <row r="298" spans="2:20" x14ac:dyDescent="0.25">
      <c r="B298" s="7"/>
      <c r="R298" s="6"/>
      <c r="T298" s="6"/>
    </row>
    <row r="299" spans="2:20" x14ac:dyDescent="0.25">
      <c r="B299" s="7"/>
      <c r="R299" s="6"/>
      <c r="T299" s="6"/>
    </row>
    <row r="300" spans="2:20" x14ac:dyDescent="0.25">
      <c r="B300" s="7"/>
      <c r="R300" s="6"/>
      <c r="T300" s="6"/>
    </row>
    <row r="301" spans="2:20" x14ac:dyDescent="0.25">
      <c r="B301" s="7"/>
      <c r="R301" s="6"/>
      <c r="T301" s="6"/>
    </row>
    <row r="302" spans="2:20" x14ac:dyDescent="0.25">
      <c r="B302" s="7"/>
      <c r="R302" s="6"/>
      <c r="T302" s="6"/>
    </row>
    <row r="303" spans="2:20" x14ac:dyDescent="0.25">
      <c r="B303" s="7"/>
      <c r="R303" s="6"/>
      <c r="T303" s="6"/>
    </row>
    <row r="304" spans="2:20" x14ac:dyDescent="0.25">
      <c r="B304" s="7"/>
      <c r="R304" s="6"/>
      <c r="T304" s="6"/>
    </row>
    <row r="305" spans="2:20" x14ac:dyDescent="0.25">
      <c r="B305" s="7"/>
      <c r="R305" s="6"/>
      <c r="T305" s="6"/>
    </row>
    <row r="306" spans="2:20" x14ac:dyDescent="0.25">
      <c r="B306" s="7"/>
      <c r="R306" s="6"/>
      <c r="T306" s="6"/>
    </row>
    <row r="307" spans="2:20" x14ac:dyDescent="0.25">
      <c r="B307" s="7"/>
      <c r="R307" s="6"/>
      <c r="T307" s="6"/>
    </row>
    <row r="308" spans="2:20" x14ac:dyDescent="0.25">
      <c r="B308" s="7"/>
      <c r="R308" s="6"/>
      <c r="T308" s="6"/>
    </row>
    <row r="309" spans="2:20" x14ac:dyDescent="0.25">
      <c r="B309" s="7"/>
      <c r="R309" s="6"/>
      <c r="T309" s="6"/>
    </row>
    <row r="310" spans="2:20" x14ac:dyDescent="0.25">
      <c r="B310" s="7"/>
      <c r="R310" s="6"/>
      <c r="T310" s="6"/>
    </row>
    <row r="311" spans="2:20" x14ac:dyDescent="0.25">
      <c r="B311" s="7"/>
      <c r="R311" s="6"/>
      <c r="T311" s="6"/>
    </row>
    <row r="312" spans="2:20" x14ac:dyDescent="0.25">
      <c r="B312" s="7"/>
      <c r="R312" s="6"/>
      <c r="T312" s="6"/>
    </row>
    <row r="313" spans="2:20" x14ac:dyDescent="0.25">
      <c r="B313" s="7"/>
      <c r="R313" s="6"/>
      <c r="T313" s="6"/>
    </row>
    <row r="314" spans="2:20" x14ac:dyDescent="0.25">
      <c r="B314" s="7"/>
      <c r="R314" s="6"/>
      <c r="T314" s="6"/>
    </row>
    <row r="315" spans="2:20" x14ac:dyDescent="0.25">
      <c r="B315" s="7"/>
      <c r="R315" s="6"/>
      <c r="T315" s="6"/>
    </row>
    <row r="316" spans="2:20" x14ac:dyDescent="0.25">
      <c r="B316" s="7"/>
      <c r="R316" s="6"/>
      <c r="T316" s="6"/>
    </row>
    <row r="317" spans="2:20" x14ac:dyDescent="0.25">
      <c r="B317" s="7"/>
      <c r="R317" s="6"/>
      <c r="T317" s="6"/>
    </row>
    <row r="318" spans="2:20" x14ac:dyDescent="0.25">
      <c r="B318" s="7"/>
      <c r="R318" s="6"/>
      <c r="T318" s="6"/>
    </row>
    <row r="319" spans="2:20" x14ac:dyDescent="0.25">
      <c r="B319" s="7"/>
      <c r="R319" s="6"/>
      <c r="T319" s="6"/>
    </row>
    <row r="320" spans="2:20" x14ac:dyDescent="0.25">
      <c r="B320" s="7"/>
      <c r="R320" s="6"/>
      <c r="T320" s="6"/>
    </row>
    <row r="321" spans="2:20" x14ac:dyDescent="0.25">
      <c r="B321" s="7"/>
      <c r="R321" s="6"/>
      <c r="T321" s="6"/>
    </row>
    <row r="322" spans="2:20" x14ac:dyDescent="0.25">
      <c r="B322" s="7"/>
      <c r="R322" s="6"/>
      <c r="T322" s="6"/>
    </row>
    <row r="323" spans="2:20" x14ac:dyDescent="0.25">
      <c r="B323" s="7"/>
      <c r="R323" s="6"/>
      <c r="T323" s="6"/>
    </row>
    <row r="324" spans="2:20" x14ac:dyDescent="0.25">
      <c r="B324" s="7"/>
      <c r="R324" s="6"/>
      <c r="T324" s="6"/>
    </row>
    <row r="325" spans="2:20" x14ac:dyDescent="0.25">
      <c r="B325" s="7"/>
      <c r="R325" s="6"/>
      <c r="T325" s="6"/>
    </row>
    <row r="326" spans="2:20" x14ac:dyDescent="0.25">
      <c r="B326" s="7"/>
      <c r="R326" s="6"/>
      <c r="T326" s="6"/>
    </row>
    <row r="327" spans="2:20" x14ac:dyDescent="0.25">
      <c r="B327" s="7"/>
      <c r="R327" s="6"/>
      <c r="T327" s="6"/>
    </row>
    <row r="328" spans="2:20" x14ac:dyDescent="0.25">
      <c r="B328" s="7"/>
      <c r="R328" s="6"/>
      <c r="T328" s="6"/>
    </row>
    <row r="329" spans="2:20" x14ac:dyDescent="0.25">
      <c r="B329" s="7"/>
      <c r="R329" s="6"/>
      <c r="T329" s="6"/>
    </row>
    <row r="330" spans="2:20" x14ac:dyDescent="0.25">
      <c r="B330" s="7"/>
      <c r="R330" s="6"/>
      <c r="T330" s="6"/>
    </row>
    <row r="331" spans="2:20" x14ac:dyDescent="0.25">
      <c r="B331" s="7"/>
      <c r="R331" s="6"/>
      <c r="T331" s="6"/>
    </row>
    <row r="332" spans="2:20" x14ac:dyDescent="0.25">
      <c r="B332" s="7"/>
      <c r="R332" s="6"/>
      <c r="T332" s="6"/>
    </row>
    <row r="333" spans="2:20" x14ac:dyDescent="0.25">
      <c r="B333" s="7"/>
      <c r="R333" s="6"/>
      <c r="T333" s="6"/>
    </row>
    <row r="334" spans="2:20" x14ac:dyDescent="0.25">
      <c r="B334" s="7"/>
      <c r="R334" s="6"/>
      <c r="T334" s="6"/>
    </row>
    <row r="335" spans="2:20" x14ac:dyDescent="0.25">
      <c r="B335" s="7"/>
      <c r="R335" s="6"/>
      <c r="T335" s="6"/>
    </row>
    <row r="336" spans="2:20" x14ac:dyDescent="0.25">
      <c r="B336" s="7"/>
      <c r="R336" s="6"/>
      <c r="T336" s="6"/>
    </row>
    <row r="337" spans="2:20" x14ac:dyDescent="0.25">
      <c r="B337" s="7"/>
      <c r="R337" s="6"/>
      <c r="T337" s="6"/>
    </row>
    <row r="338" spans="2:20" x14ac:dyDescent="0.25">
      <c r="B338" s="7"/>
      <c r="R338" s="6"/>
      <c r="T338" s="6"/>
    </row>
    <row r="339" spans="2:20" x14ac:dyDescent="0.25">
      <c r="B339" s="7"/>
      <c r="R339" s="6"/>
      <c r="T339" s="6"/>
    </row>
    <row r="340" spans="2:20" x14ac:dyDescent="0.25">
      <c r="B340" s="7"/>
      <c r="R340" s="6"/>
      <c r="T340" s="6"/>
    </row>
    <row r="341" spans="2:20" x14ac:dyDescent="0.25">
      <c r="B341" s="7"/>
      <c r="R341" s="6"/>
      <c r="T341" s="6"/>
    </row>
    <row r="342" spans="2:20" x14ac:dyDescent="0.25">
      <c r="B342" s="7"/>
      <c r="R342" s="6"/>
      <c r="T342" s="6"/>
    </row>
    <row r="343" spans="2:20" x14ac:dyDescent="0.25">
      <c r="B343" s="7"/>
      <c r="R343" s="6"/>
      <c r="T343" s="6"/>
    </row>
    <row r="344" spans="2:20" x14ac:dyDescent="0.25">
      <c r="B344" s="7"/>
      <c r="R344" s="6"/>
      <c r="T344" s="6"/>
    </row>
    <row r="345" spans="2:20" x14ac:dyDescent="0.25">
      <c r="B345" s="7"/>
      <c r="R345" s="6"/>
      <c r="T345" s="6"/>
    </row>
    <row r="346" spans="2:20" x14ac:dyDescent="0.25">
      <c r="B346" s="7"/>
      <c r="R346" s="6"/>
      <c r="T346" s="6"/>
    </row>
    <row r="347" spans="2:20" x14ac:dyDescent="0.25">
      <c r="B347" s="7"/>
      <c r="R347" s="6"/>
      <c r="T347" s="6"/>
    </row>
    <row r="348" spans="2:20" x14ac:dyDescent="0.25">
      <c r="B348" s="7"/>
      <c r="R348" s="6"/>
      <c r="T348" s="6"/>
    </row>
    <row r="349" spans="2:20" x14ac:dyDescent="0.25">
      <c r="B349" s="7"/>
      <c r="R349" s="6"/>
      <c r="T349" s="6"/>
    </row>
    <row r="350" spans="2:20" x14ac:dyDescent="0.25">
      <c r="B350" s="7"/>
      <c r="R350" s="6"/>
      <c r="T350" s="6"/>
    </row>
    <row r="351" spans="2:20" x14ac:dyDescent="0.25">
      <c r="B351" s="7"/>
      <c r="R351" s="6"/>
      <c r="T351" s="6"/>
    </row>
    <row r="352" spans="2:20" x14ac:dyDescent="0.25">
      <c r="B352" s="7"/>
      <c r="R352" s="6"/>
      <c r="T352" s="6"/>
    </row>
    <row r="353" spans="2:20" x14ac:dyDescent="0.25">
      <c r="B353" s="7"/>
      <c r="R353" s="6"/>
      <c r="T353" s="6"/>
    </row>
    <row r="354" spans="2:20" x14ac:dyDescent="0.25">
      <c r="B354" s="7"/>
      <c r="R354" s="6"/>
      <c r="T354" s="6"/>
    </row>
    <row r="355" spans="2:20" x14ac:dyDescent="0.25">
      <c r="B355" s="7"/>
      <c r="R355" s="6"/>
      <c r="T355" s="6"/>
    </row>
    <row r="356" spans="2:20" x14ac:dyDescent="0.25">
      <c r="B356" s="7"/>
      <c r="R356" s="6"/>
      <c r="T356" s="6"/>
    </row>
    <row r="357" spans="2:20" x14ac:dyDescent="0.25">
      <c r="B357" s="7"/>
      <c r="R357" s="6"/>
      <c r="T357" s="6"/>
    </row>
    <row r="358" spans="2:20" x14ac:dyDescent="0.25">
      <c r="B358" s="7"/>
      <c r="R358" s="6"/>
      <c r="T358" s="6"/>
    </row>
    <row r="359" spans="2:20" x14ac:dyDescent="0.25">
      <c r="B359" s="7"/>
      <c r="R359" s="6"/>
      <c r="T359" s="6"/>
    </row>
    <row r="360" spans="2:20" x14ac:dyDescent="0.25">
      <c r="B360" s="7"/>
      <c r="R360" s="6"/>
      <c r="T360" s="6"/>
    </row>
    <row r="361" spans="2:20" x14ac:dyDescent="0.25">
      <c r="B361" s="7"/>
      <c r="R361" s="6"/>
      <c r="T361" s="6"/>
    </row>
    <row r="362" spans="2:20" x14ac:dyDescent="0.25">
      <c r="B362" s="7"/>
      <c r="R362" s="6"/>
      <c r="T362" s="6"/>
    </row>
    <row r="363" spans="2:20" x14ac:dyDescent="0.25">
      <c r="B363" s="7"/>
      <c r="R363" s="6"/>
      <c r="T363" s="6"/>
    </row>
    <row r="364" spans="2:20" x14ac:dyDescent="0.25">
      <c r="B364" s="7"/>
      <c r="R364" s="6"/>
      <c r="T364" s="6"/>
    </row>
    <row r="365" spans="2:20" x14ac:dyDescent="0.25">
      <c r="B365" s="7"/>
      <c r="R365" s="6"/>
      <c r="T365" s="6"/>
    </row>
    <row r="366" spans="2:20" x14ac:dyDescent="0.25">
      <c r="B366" s="7"/>
      <c r="R366" s="6"/>
      <c r="T366" s="6"/>
    </row>
    <row r="367" spans="2:20" x14ac:dyDescent="0.25">
      <c r="B367" s="7"/>
      <c r="R367" s="6"/>
      <c r="T367" s="6"/>
    </row>
    <row r="368" spans="2:20" x14ac:dyDescent="0.25">
      <c r="B368" s="7"/>
      <c r="R368" s="6"/>
      <c r="T368" s="6"/>
    </row>
    <row r="369" spans="2:20" x14ac:dyDescent="0.25">
      <c r="B369" s="7"/>
      <c r="R369" s="6"/>
      <c r="T369" s="6"/>
    </row>
    <row r="370" spans="2:20" x14ac:dyDescent="0.25">
      <c r="B370" s="7"/>
      <c r="R370" s="6"/>
      <c r="T370" s="6"/>
    </row>
    <row r="371" spans="2:20" x14ac:dyDescent="0.25">
      <c r="B371" s="7"/>
      <c r="R371" s="6"/>
      <c r="T371" s="6"/>
    </row>
    <row r="372" spans="2:20" x14ac:dyDescent="0.25">
      <c r="B372" s="7"/>
      <c r="R372" s="6"/>
      <c r="T372" s="6"/>
    </row>
    <row r="373" spans="2:20" x14ac:dyDescent="0.25">
      <c r="B373" s="7"/>
      <c r="R373" s="6"/>
      <c r="T373" s="6"/>
    </row>
    <row r="374" spans="2:20" x14ac:dyDescent="0.25">
      <c r="B374" s="7"/>
      <c r="R374" s="6"/>
      <c r="T374" s="6"/>
    </row>
    <row r="375" spans="2:20" x14ac:dyDescent="0.25">
      <c r="B375" s="7"/>
      <c r="R375" s="6"/>
      <c r="T375" s="6"/>
    </row>
    <row r="376" spans="2:20" x14ac:dyDescent="0.25">
      <c r="B376" s="7"/>
      <c r="R376" s="6"/>
      <c r="T376" s="6"/>
    </row>
    <row r="377" spans="2:20" x14ac:dyDescent="0.25">
      <c r="B377" s="7"/>
      <c r="R377" s="6"/>
      <c r="T377" s="6"/>
    </row>
    <row r="378" spans="2:20" x14ac:dyDescent="0.25">
      <c r="B378" s="7"/>
      <c r="R378" s="6"/>
      <c r="T378" s="6"/>
    </row>
    <row r="379" spans="2:20" x14ac:dyDescent="0.25">
      <c r="B379" s="7"/>
      <c r="R379" s="6"/>
      <c r="T379" s="6"/>
    </row>
    <row r="380" spans="2:20" x14ac:dyDescent="0.25">
      <c r="B380" s="7"/>
      <c r="R380" s="6"/>
      <c r="T380" s="6"/>
    </row>
    <row r="381" spans="2:20" x14ac:dyDescent="0.25">
      <c r="B381" s="7"/>
      <c r="R381" s="6"/>
      <c r="T381" s="6"/>
    </row>
    <row r="382" spans="2:20" x14ac:dyDescent="0.25">
      <c r="B382" s="7"/>
      <c r="R382" s="6"/>
      <c r="T382" s="6"/>
    </row>
    <row r="383" spans="2:20" x14ac:dyDescent="0.25">
      <c r="B383" s="7"/>
      <c r="R383" s="6"/>
      <c r="T383" s="6"/>
    </row>
    <row r="384" spans="2:20" x14ac:dyDescent="0.25">
      <c r="B384" s="7"/>
      <c r="R384" s="6"/>
      <c r="T384" s="6"/>
    </row>
    <row r="385" spans="2:20" x14ac:dyDescent="0.25">
      <c r="B385" s="7"/>
      <c r="R385" s="6"/>
      <c r="T385" s="6"/>
    </row>
    <row r="386" spans="2:20" x14ac:dyDescent="0.25">
      <c r="B386" s="7"/>
      <c r="R386" s="6"/>
      <c r="T386" s="6"/>
    </row>
    <row r="387" spans="2:20" x14ac:dyDescent="0.25">
      <c r="B387" s="7"/>
      <c r="R387" s="6"/>
      <c r="T387" s="6"/>
    </row>
    <row r="388" spans="2:20" x14ac:dyDescent="0.25">
      <c r="B388" s="7"/>
      <c r="R388" s="6"/>
      <c r="T388" s="6"/>
    </row>
    <row r="389" spans="2:20" x14ac:dyDescent="0.25">
      <c r="B389" s="7"/>
      <c r="R389" s="6"/>
      <c r="T389" s="6"/>
    </row>
    <row r="390" spans="2:20" x14ac:dyDescent="0.25">
      <c r="B390" s="7"/>
      <c r="R390" s="6"/>
      <c r="T390" s="6"/>
    </row>
    <row r="391" spans="2:20" x14ac:dyDescent="0.25">
      <c r="B391" s="7"/>
      <c r="R391" s="6"/>
      <c r="T391" s="6"/>
    </row>
    <row r="392" spans="2:20" x14ac:dyDescent="0.25">
      <c r="B392" s="7"/>
      <c r="R392" s="6"/>
      <c r="T392" s="6"/>
    </row>
    <row r="393" spans="2:20" x14ac:dyDescent="0.25">
      <c r="B393" s="7"/>
      <c r="R393" s="6"/>
      <c r="T393" s="6"/>
    </row>
    <row r="394" spans="2:20" x14ac:dyDescent="0.25">
      <c r="B394" s="7"/>
      <c r="R394" s="6"/>
      <c r="T394" s="6"/>
    </row>
    <row r="395" spans="2:20" x14ac:dyDescent="0.25">
      <c r="B395" s="7"/>
      <c r="R395" s="6"/>
      <c r="T395" s="6"/>
    </row>
    <row r="396" spans="2:20" x14ac:dyDescent="0.25">
      <c r="B396" s="7"/>
      <c r="R396" s="6"/>
      <c r="T396" s="6"/>
    </row>
    <row r="397" spans="2:20" x14ac:dyDescent="0.25">
      <c r="B397" s="7"/>
      <c r="R397" s="6"/>
      <c r="T397" s="6"/>
    </row>
    <row r="398" spans="2:20" x14ac:dyDescent="0.25">
      <c r="B398" s="7"/>
      <c r="R398" s="6"/>
      <c r="T398" s="6"/>
    </row>
    <row r="399" spans="2:20" x14ac:dyDescent="0.25">
      <c r="B399" s="7"/>
      <c r="R399" s="6"/>
      <c r="T399" s="6"/>
    </row>
    <row r="400" spans="2:20" x14ac:dyDescent="0.25">
      <c r="B400" s="7"/>
      <c r="R400" s="6"/>
      <c r="T400" s="6"/>
    </row>
    <row r="401" spans="2:20" x14ac:dyDescent="0.25">
      <c r="B401" s="7"/>
      <c r="R401" s="6"/>
      <c r="T401" s="6"/>
    </row>
    <row r="402" spans="2:20" x14ac:dyDescent="0.25">
      <c r="B402" s="7"/>
      <c r="R402" s="6"/>
      <c r="T402" s="6"/>
    </row>
    <row r="403" spans="2:20" x14ac:dyDescent="0.25">
      <c r="B403" s="7"/>
      <c r="R403" s="6"/>
      <c r="T403" s="6"/>
    </row>
    <row r="404" spans="2:20" x14ac:dyDescent="0.25">
      <c r="B404" s="7"/>
      <c r="R404" s="6"/>
      <c r="T404" s="6"/>
    </row>
    <row r="405" spans="2:20" x14ac:dyDescent="0.25">
      <c r="B405" s="7"/>
      <c r="R405" s="6"/>
      <c r="T405" s="6"/>
    </row>
    <row r="406" spans="2:20" x14ac:dyDescent="0.25">
      <c r="B406" s="7"/>
      <c r="R406" s="6"/>
      <c r="T406" s="6"/>
    </row>
    <row r="407" spans="2:20" x14ac:dyDescent="0.25">
      <c r="B407" s="7"/>
      <c r="R407" s="6"/>
      <c r="T407" s="6"/>
    </row>
    <row r="408" spans="2:20" x14ac:dyDescent="0.25">
      <c r="B408" s="7"/>
      <c r="R408" s="6"/>
      <c r="T408" s="6"/>
    </row>
    <row r="409" spans="2:20" x14ac:dyDescent="0.25">
      <c r="B409" s="7"/>
      <c r="R409" s="6"/>
      <c r="T409" s="6"/>
    </row>
    <row r="410" spans="2:20" x14ac:dyDescent="0.25">
      <c r="B410" s="7"/>
      <c r="R410" s="6"/>
      <c r="T410" s="6"/>
    </row>
    <row r="411" spans="2:20" x14ac:dyDescent="0.25">
      <c r="B411" s="7"/>
      <c r="R411" s="6"/>
      <c r="T411" s="6"/>
    </row>
    <row r="412" spans="2:20" x14ac:dyDescent="0.25">
      <c r="B412" s="7"/>
      <c r="R412" s="6"/>
      <c r="T412" s="6"/>
    </row>
    <row r="413" spans="2:20" x14ac:dyDescent="0.25">
      <c r="B413" s="7"/>
      <c r="R413" s="6"/>
      <c r="T413" s="6"/>
    </row>
    <row r="414" spans="2:20" x14ac:dyDescent="0.25">
      <c r="B414" s="7"/>
      <c r="R414" s="6"/>
      <c r="T414" s="6"/>
    </row>
    <row r="415" spans="2:20" x14ac:dyDescent="0.25">
      <c r="B415" s="7"/>
      <c r="R415" s="6"/>
      <c r="T415" s="6"/>
    </row>
    <row r="416" spans="2:20" x14ac:dyDescent="0.25">
      <c r="B416" s="7"/>
      <c r="R416" s="6"/>
      <c r="T416" s="6"/>
    </row>
    <row r="417" spans="2:20" x14ac:dyDescent="0.25">
      <c r="B417" s="7"/>
      <c r="R417" s="6"/>
      <c r="T417" s="6"/>
    </row>
    <row r="418" spans="2:20" x14ac:dyDescent="0.25">
      <c r="B418" s="7"/>
      <c r="R418" s="6"/>
      <c r="T418" s="6"/>
    </row>
    <row r="419" spans="2:20" x14ac:dyDescent="0.25">
      <c r="B419" s="7"/>
      <c r="R419" s="6"/>
      <c r="T419" s="6"/>
    </row>
    <row r="420" spans="2:20" x14ac:dyDescent="0.25">
      <c r="B420" s="7"/>
      <c r="R420" s="6"/>
      <c r="T420" s="6"/>
    </row>
    <row r="421" spans="2:20" x14ac:dyDescent="0.25">
      <c r="B421" s="7"/>
      <c r="R421" s="6"/>
      <c r="T421" s="6"/>
    </row>
    <row r="422" spans="2:20" x14ac:dyDescent="0.25">
      <c r="B422" s="7"/>
      <c r="R422" s="6"/>
      <c r="T422" s="6"/>
    </row>
    <row r="423" spans="2:20" x14ac:dyDescent="0.25">
      <c r="B423" s="7"/>
      <c r="R423" s="6"/>
      <c r="T423" s="6"/>
    </row>
    <row r="424" spans="2:20" x14ac:dyDescent="0.25">
      <c r="B424" s="7"/>
      <c r="R424" s="6"/>
      <c r="T424" s="6"/>
    </row>
    <row r="425" spans="2:20" x14ac:dyDescent="0.25">
      <c r="B425" s="7"/>
      <c r="R425" s="6"/>
      <c r="T425" s="6"/>
    </row>
    <row r="426" spans="2:20" x14ac:dyDescent="0.25">
      <c r="B426" s="7"/>
      <c r="R426" s="6"/>
      <c r="T426" s="6"/>
    </row>
    <row r="427" spans="2:20" x14ac:dyDescent="0.25">
      <c r="B427" s="7"/>
      <c r="R427" s="6"/>
      <c r="T427" s="6"/>
    </row>
    <row r="428" spans="2:20" x14ac:dyDescent="0.25">
      <c r="B428" s="7"/>
      <c r="R428" s="6"/>
      <c r="T428" s="6"/>
    </row>
    <row r="429" spans="2:20" x14ac:dyDescent="0.25">
      <c r="B429" s="7"/>
      <c r="R429" s="6"/>
      <c r="T429" s="6"/>
    </row>
    <row r="430" spans="2:20" x14ac:dyDescent="0.25">
      <c r="B430" s="7"/>
      <c r="R430" s="6"/>
      <c r="T430" s="6"/>
    </row>
    <row r="431" spans="2:20" x14ac:dyDescent="0.25">
      <c r="B431" s="7"/>
      <c r="R431" s="6"/>
      <c r="T431" s="6"/>
    </row>
    <row r="432" spans="2:20" x14ac:dyDescent="0.25">
      <c r="B432" s="7"/>
      <c r="R432" s="6"/>
      <c r="T432" s="6"/>
    </row>
    <row r="433" spans="2:20" x14ac:dyDescent="0.25">
      <c r="B433" s="7"/>
      <c r="R433" s="6"/>
      <c r="T433" s="6"/>
    </row>
    <row r="434" spans="2:20" x14ac:dyDescent="0.25">
      <c r="B434" s="7"/>
      <c r="R434" s="6"/>
      <c r="T434" s="6"/>
    </row>
    <row r="435" spans="2:20" x14ac:dyDescent="0.25">
      <c r="B435" s="7"/>
      <c r="R435" s="6"/>
      <c r="T435" s="6"/>
    </row>
    <row r="436" spans="2:20" x14ac:dyDescent="0.25">
      <c r="B436" s="7"/>
      <c r="R436" s="6"/>
      <c r="T436" s="6"/>
    </row>
    <row r="437" spans="2:20" x14ac:dyDescent="0.25">
      <c r="B437" s="7"/>
      <c r="R437" s="6"/>
      <c r="T437" s="6"/>
    </row>
    <row r="438" spans="2:20" x14ac:dyDescent="0.25">
      <c r="B438" s="7"/>
      <c r="R438" s="6"/>
      <c r="T438" s="6"/>
    </row>
    <row r="439" spans="2:20" x14ac:dyDescent="0.25">
      <c r="B439" s="7"/>
      <c r="R439" s="6"/>
      <c r="T439" s="6"/>
    </row>
    <row r="440" spans="2:20" x14ac:dyDescent="0.25">
      <c r="B440" s="7"/>
      <c r="R440" s="6"/>
      <c r="T440" s="6"/>
    </row>
    <row r="441" spans="2:20" x14ac:dyDescent="0.25">
      <c r="B441" s="7"/>
      <c r="R441" s="6"/>
      <c r="T441" s="6"/>
    </row>
    <row r="442" spans="2:20" x14ac:dyDescent="0.25">
      <c r="B442" s="7"/>
      <c r="R442" s="6"/>
      <c r="T442" s="6"/>
    </row>
    <row r="443" spans="2:20" x14ac:dyDescent="0.25">
      <c r="B443" s="7"/>
      <c r="R443" s="6"/>
      <c r="T443" s="6"/>
    </row>
    <row r="444" spans="2:20" x14ac:dyDescent="0.25">
      <c r="B444" s="7"/>
      <c r="R444" s="6"/>
      <c r="T444" s="6"/>
    </row>
    <row r="445" spans="2:20" x14ac:dyDescent="0.25">
      <c r="B445" s="7"/>
      <c r="R445" s="6"/>
      <c r="T445" s="6"/>
    </row>
    <row r="446" spans="2:20" x14ac:dyDescent="0.25">
      <c r="B446" s="7"/>
      <c r="R446" s="6"/>
      <c r="T446" s="6"/>
    </row>
    <row r="447" spans="2:20" x14ac:dyDescent="0.25">
      <c r="B447" s="7"/>
      <c r="R447" s="6"/>
      <c r="T447" s="6"/>
    </row>
    <row r="448" spans="2:20" x14ac:dyDescent="0.25">
      <c r="B448" s="7"/>
      <c r="R448" s="6"/>
      <c r="T448" s="6"/>
    </row>
    <row r="449" spans="2:20" x14ac:dyDescent="0.25">
      <c r="B449" s="7"/>
      <c r="R449" s="6"/>
      <c r="T449" s="6"/>
    </row>
    <row r="450" spans="2:20" x14ac:dyDescent="0.25">
      <c r="B450" s="7"/>
      <c r="R450" s="6"/>
      <c r="T450" s="6"/>
    </row>
    <row r="451" spans="2:20" x14ac:dyDescent="0.25">
      <c r="B451" s="7"/>
      <c r="R451" s="6"/>
      <c r="T451" s="6"/>
    </row>
    <row r="452" spans="2:20" x14ac:dyDescent="0.25">
      <c r="B452" s="7"/>
      <c r="R452" s="6"/>
      <c r="T452" s="6"/>
    </row>
    <row r="453" spans="2:20" x14ac:dyDescent="0.25">
      <c r="B453" s="7"/>
      <c r="R453" s="6"/>
      <c r="T453" s="6"/>
    </row>
    <row r="454" spans="2:20" x14ac:dyDescent="0.25">
      <c r="B454" s="7"/>
      <c r="R454" s="6"/>
      <c r="T454" s="6"/>
    </row>
    <row r="455" spans="2:20" x14ac:dyDescent="0.25">
      <c r="B455" s="7"/>
      <c r="R455" s="6"/>
      <c r="T455" s="6"/>
    </row>
    <row r="456" spans="2:20" x14ac:dyDescent="0.25">
      <c r="B456" s="7"/>
      <c r="R456" s="6"/>
      <c r="T456" s="6"/>
    </row>
    <row r="457" spans="2:20" x14ac:dyDescent="0.25">
      <c r="B457" s="7"/>
      <c r="R457" s="6"/>
      <c r="T457" s="6"/>
    </row>
    <row r="458" spans="2:20" x14ac:dyDescent="0.25">
      <c r="B458" s="7"/>
      <c r="R458" s="6"/>
      <c r="T458" s="6"/>
    </row>
    <row r="459" spans="2:20" x14ac:dyDescent="0.25">
      <c r="B459" s="7"/>
      <c r="R459" s="6"/>
      <c r="T459" s="6"/>
    </row>
    <row r="460" spans="2:20" x14ac:dyDescent="0.25">
      <c r="B460" s="7"/>
      <c r="R460" s="6"/>
      <c r="T460" s="6"/>
    </row>
    <row r="461" spans="2:20" x14ac:dyDescent="0.25">
      <c r="B461" s="7"/>
      <c r="R461" s="6"/>
      <c r="T461" s="6"/>
    </row>
    <row r="462" spans="2:20" x14ac:dyDescent="0.25">
      <c r="B462" s="7"/>
      <c r="R462" s="6"/>
      <c r="T462" s="6"/>
    </row>
    <row r="463" spans="2:20" x14ac:dyDescent="0.25">
      <c r="B463" s="7"/>
      <c r="R463" s="6"/>
      <c r="T463" s="6"/>
    </row>
    <row r="464" spans="2:20" x14ac:dyDescent="0.25">
      <c r="B464" s="7"/>
      <c r="R464" s="6"/>
      <c r="T464" s="6"/>
    </row>
    <row r="465" spans="2:20" x14ac:dyDescent="0.25">
      <c r="B465" s="7"/>
      <c r="R465" s="6"/>
      <c r="T465" s="6"/>
    </row>
    <row r="466" spans="2:20" x14ac:dyDescent="0.25">
      <c r="B466" s="7"/>
      <c r="R466" s="6"/>
      <c r="T466" s="6"/>
    </row>
    <row r="467" spans="2:20" x14ac:dyDescent="0.25">
      <c r="B467" s="7"/>
      <c r="R467" s="6"/>
      <c r="T467" s="6"/>
    </row>
    <row r="468" spans="2:20" x14ac:dyDescent="0.25">
      <c r="B468" s="7"/>
      <c r="R468" s="6"/>
      <c r="T468" s="6"/>
    </row>
    <row r="469" spans="2:20" x14ac:dyDescent="0.25">
      <c r="B469" s="7"/>
      <c r="R469" s="6"/>
      <c r="T469" s="6"/>
    </row>
    <row r="470" spans="2:20" x14ac:dyDescent="0.25">
      <c r="B470" s="7"/>
      <c r="R470" s="6"/>
      <c r="T470" s="6"/>
    </row>
    <row r="471" spans="2:20" x14ac:dyDescent="0.25">
      <c r="B471" s="7"/>
      <c r="R471" s="6"/>
      <c r="T471" s="6"/>
    </row>
    <row r="472" spans="2:20" x14ac:dyDescent="0.25">
      <c r="B472" s="7"/>
      <c r="R472" s="6"/>
      <c r="T472" s="6"/>
    </row>
    <row r="473" spans="2:20" x14ac:dyDescent="0.25">
      <c r="B473" s="7"/>
      <c r="R473" s="6"/>
      <c r="T473" s="6"/>
    </row>
    <row r="474" spans="2:20" x14ac:dyDescent="0.25">
      <c r="B474" s="7"/>
      <c r="R474" s="6"/>
      <c r="T474" s="6"/>
    </row>
    <row r="475" spans="2:20" x14ac:dyDescent="0.25">
      <c r="B475" s="7"/>
      <c r="R475" s="6"/>
      <c r="T475" s="6"/>
    </row>
    <row r="476" spans="2:20" x14ac:dyDescent="0.25">
      <c r="B476" s="7"/>
      <c r="R476" s="6"/>
      <c r="T476" s="6"/>
    </row>
    <row r="477" spans="2:20" x14ac:dyDescent="0.25">
      <c r="B477" s="7"/>
      <c r="R477" s="6"/>
      <c r="T477" s="6"/>
    </row>
    <row r="478" spans="2:20" x14ac:dyDescent="0.25">
      <c r="B478" s="7"/>
      <c r="R478" s="6"/>
      <c r="T478" s="6"/>
    </row>
    <row r="479" spans="2:20" x14ac:dyDescent="0.25">
      <c r="B479" s="7"/>
      <c r="R479" s="6"/>
      <c r="T479" s="6"/>
    </row>
    <row r="480" spans="2:20" x14ac:dyDescent="0.25">
      <c r="B480" s="7"/>
      <c r="R480" s="6"/>
      <c r="T480" s="6"/>
    </row>
    <row r="481" spans="2:20" x14ac:dyDescent="0.25">
      <c r="B481" s="7"/>
      <c r="R481" s="6"/>
      <c r="T481" s="6"/>
    </row>
    <row r="482" spans="2:20" x14ac:dyDescent="0.25">
      <c r="B482" s="7"/>
      <c r="R482" s="6"/>
      <c r="T482" s="6"/>
    </row>
    <row r="483" spans="2:20" x14ac:dyDescent="0.25">
      <c r="B483" s="7"/>
      <c r="R483" s="6"/>
      <c r="T483" s="6"/>
    </row>
    <row r="484" spans="2:20" x14ac:dyDescent="0.25">
      <c r="B484" s="7"/>
      <c r="R484" s="6"/>
      <c r="T484" s="6"/>
    </row>
    <row r="485" spans="2:20" x14ac:dyDescent="0.25">
      <c r="B485" s="7"/>
      <c r="R485" s="6"/>
      <c r="T485" s="6"/>
    </row>
    <row r="486" spans="2:20" x14ac:dyDescent="0.25">
      <c r="B486" s="7"/>
      <c r="R486" s="6"/>
      <c r="T486" s="6"/>
    </row>
    <row r="487" spans="2:20" x14ac:dyDescent="0.25">
      <c r="B487" s="7"/>
      <c r="R487" s="6"/>
      <c r="T487" s="6"/>
    </row>
    <row r="488" spans="2:20" x14ac:dyDescent="0.25">
      <c r="B488" s="7"/>
      <c r="R488" s="6"/>
      <c r="T488" s="6"/>
    </row>
    <row r="489" spans="2:20" x14ac:dyDescent="0.25">
      <c r="B489" s="7"/>
      <c r="R489" s="6"/>
      <c r="T489" s="6"/>
    </row>
    <row r="490" spans="2:20" x14ac:dyDescent="0.25">
      <c r="B490" s="7"/>
      <c r="R490" s="6"/>
      <c r="T490" s="6"/>
    </row>
    <row r="491" spans="2:20" x14ac:dyDescent="0.25">
      <c r="B491" s="7"/>
      <c r="R491" s="6"/>
      <c r="T491" s="6"/>
    </row>
    <row r="492" spans="2:20" x14ac:dyDescent="0.25">
      <c r="B492" s="7"/>
      <c r="R492" s="6"/>
      <c r="T492" s="6"/>
    </row>
    <row r="493" spans="2:20" x14ac:dyDescent="0.25">
      <c r="B493" s="7"/>
      <c r="R493" s="6"/>
      <c r="T493" s="6"/>
    </row>
    <row r="494" spans="2:20" x14ac:dyDescent="0.25">
      <c r="B494" s="7"/>
      <c r="R494" s="6"/>
      <c r="T494" s="6"/>
    </row>
    <row r="495" spans="2:20" x14ac:dyDescent="0.25">
      <c r="B495" s="7"/>
      <c r="R495" s="6"/>
      <c r="T495" s="6"/>
    </row>
    <row r="496" spans="2:20" x14ac:dyDescent="0.25">
      <c r="B496" s="7"/>
      <c r="R496" s="6"/>
      <c r="T496" s="6"/>
    </row>
    <row r="497" spans="2:20" x14ac:dyDescent="0.25">
      <c r="B497" s="7"/>
      <c r="R497" s="6"/>
      <c r="T497" s="6"/>
    </row>
    <row r="498" spans="2:20" x14ac:dyDescent="0.25">
      <c r="B498" s="7"/>
      <c r="R498" s="6"/>
      <c r="T498" s="6"/>
    </row>
    <row r="499" spans="2:20" x14ac:dyDescent="0.25">
      <c r="B499" s="7"/>
      <c r="R499" s="6"/>
      <c r="T499" s="6"/>
    </row>
    <row r="500" spans="2:20" x14ac:dyDescent="0.25">
      <c r="B500" s="7"/>
      <c r="R500" s="6"/>
      <c r="T500" s="6"/>
    </row>
  </sheetData>
  <dataValidations count="4">
    <dataValidation type="list" allowBlank="1" showInputMessage="1" showErrorMessage="1" sqref="P2:P500" xr:uid="{F70EBDA0-6C2F-4D01-B8CA-F54BE8F43CD4}">
      <formula1>"""Men,Women,Kids"""</formula1>
    </dataValidation>
    <dataValidation type="list" errorStyle="warning" allowBlank="1" showInputMessage="1" showErrorMessage="1" errorTitle="Not in list" error="This value is not in the list. Click Yes to keep it anyway." sqref="C2:C500" xr:uid="{66AA3F09-49B5-46EB-96C4-5F4061327710}">
      <formula1>"""8–9 PM,9–10 PM,10–11 PM,11–12 PM"""</formula1>
    </dataValidation>
    <dataValidation type="list" errorStyle="warning" allowBlank="1" showInputMessage="1" showErrorMessage="1" errorTitle="Not in list" error="This value is not in the list. Click Yes to keep it anyway." sqref="D2:E500" xr:uid="{8F65B526-A4EB-406D-93BF-908BFEB6529F}">
      <formula1>INDIRECT("Teams[Team]")</formula1>
    </dataValidation>
    <dataValidation type="list" errorStyle="warning" allowBlank="1" showInputMessage="1" showErrorMessage="1" errorTitle="Not in list" error="This value is not in the list. Click Yes to keep it anyway." sqref="G2:G500" xr:uid="{3627BFF8-0215-4121-9B57-24723522339F}">
      <formula1>INDIRECT("Stages[Stage]")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26A27-F7C9-4F60-8E94-B20437D6A7EA}">
  <dimension ref="A1:Y3"/>
  <sheetViews>
    <sheetView workbookViewId="0"/>
  </sheetViews>
  <sheetFormatPr defaultRowHeight="15" x14ac:dyDescent="0.25"/>
  <cols>
    <col min="1" max="1" width="30.7109375" customWidth="1"/>
    <col min="2" max="7" width="9.7109375" customWidth="1"/>
    <col min="8" max="8" width="3.7109375" customWidth="1"/>
    <col min="10" max="10" width="30.7109375" customWidth="1"/>
    <col min="11" max="16" width="9.7109375" customWidth="1"/>
    <col min="17" max="17" width="3.7109375" customWidth="1"/>
    <col min="19" max="19" width="30.7109375" customWidth="1"/>
    <col min="20" max="25" width="9.7109375" customWidth="1"/>
    <col min="26" max="26" width="3.7109375" customWidth="1"/>
  </cols>
  <sheetData>
    <row r="1" spans="1:25" ht="18.75" x14ac:dyDescent="0.3">
      <c r="A1" s="8" t="s">
        <v>79</v>
      </c>
      <c r="J1" s="8" t="s">
        <v>86</v>
      </c>
      <c r="S1" s="8" t="s">
        <v>24</v>
      </c>
    </row>
    <row r="2" spans="1:25" x14ac:dyDescent="0.25">
      <c r="A2" s="9" t="s">
        <v>12</v>
      </c>
      <c r="B2" s="9" t="s">
        <v>80</v>
      </c>
      <c r="C2" s="9" t="s">
        <v>81</v>
      </c>
      <c r="D2" s="9" t="s">
        <v>82</v>
      </c>
      <c r="E2" s="9" t="s">
        <v>83</v>
      </c>
      <c r="F2" s="9" t="s">
        <v>84</v>
      </c>
      <c r="G2" s="9" t="s">
        <v>85</v>
      </c>
      <c r="J2" s="9" t="s">
        <v>12</v>
      </c>
      <c r="K2" s="9" t="s">
        <v>80</v>
      </c>
      <c r="L2" s="9" t="s">
        <v>81</v>
      </c>
      <c r="M2" s="9" t="s">
        <v>82</v>
      </c>
      <c r="N2" s="9" t="s">
        <v>83</v>
      </c>
      <c r="O2" s="9" t="s">
        <v>84</v>
      </c>
      <c r="P2" s="9" t="s">
        <v>85</v>
      </c>
      <c r="S2" s="9" t="s">
        <v>12</v>
      </c>
      <c r="T2" s="9" t="s">
        <v>80</v>
      </c>
      <c r="U2" s="9" t="s">
        <v>81</v>
      </c>
      <c r="V2" s="9" t="s">
        <v>82</v>
      </c>
      <c r="W2" s="9" t="s">
        <v>83</v>
      </c>
      <c r="X2" s="9" t="s">
        <v>84</v>
      </c>
      <c r="Y2" s="9" t="s">
        <v>85</v>
      </c>
    </row>
    <row r="3" spans="1:25" x14ac:dyDescent="0.25">
      <c r="A3" t="str" cm="1">
        <f t="array" ref="A3">IFERROR(_xlfn.LET(_xlpm.div,"Men",_xlpm.t,_xlfn._xlws.FILTER(Teams[Team],(Teams[Team]&lt;&gt;"")*(IF(Teams[Division]="","Men",Teams[Division])=_xlpm.div)),_xlpm.md,IF(Matches[Division]="","Men",Matches[Division]),_xlpm.done,(Matches[Stage]="League")*(_xlpm.md=_xlpm.div)*(Matches[Winner]&lt;&gt;""),_xlpm.ov,_xlfn.LAMBDA(_xlpm.o,IFERROR(INT(_xlpm.o)*6+MIN(5,ROUND(MOD(_xlpm.o,1)*10,0)),0)),_xlpm.runsA,IFERROR(--Matches[Team A Runs],0),_xlpm.runsB,IFERROR(--Matches[Team B Runs],0),_xlpm.ballsA,_xlfn.MAP(Matches[Team A Overs],_xlpm.ov),_xlpm.ballsB,_xlfn.MAP(Matches[Team B Overs],_xlpm.ov),_xlpm.p,_xlfn.MAP(_xlpm.t,_xlfn.LAMBDA(_xlpm.x,SUM(_xlpm.done*((Matches[Team A]=_xlpm.x)+(Matches[Team B]=_xlpm.x))))),_xlpm.w,_xlfn.MAP(_xlpm.t,_xlfn.LAMBDA(_xlpm.x,SUM(_xlpm.done*(Matches[Winner]=_xlpm.x)))),_xlpm.nr,_xlfn.MAP(_xlpm.t,_xlfn.LAMBDA(_xlpm.x,SUM(_xlpm.done*(Matches[Winner]="No result")*((Matches[Team A]=_xlpm.x)+(Matches[Team B]=_xlpm.x))))),_xlpm.runsFor,_xlfn.MAP(_xlpm.t,_xlfn.LAMBDA(_xlpm.x,SUM(_xlpm.done*((Matches[Team A]=_xlpm.x)*_xlpm.runsA+(Matches[Team B]=_xlpm.x)*_xlpm.runsB)))),_xlpm.ballsFaced,_xlfn.MAP(_xlpm.t,_xlfn.LAMBDA(_xlpm.x,SUM(_xlpm.done*((Matches[Team A]=_xlpm.x)*_xlpm.ballsA+(Matches[Team B]=_xlpm.x)*_xlpm.ballsB)))),_xlpm.runsAgainst,_xlfn.MAP(_xlpm.t,_xlfn.LAMBDA(_xlpm.x,SUM(_xlpm.done*((Matches[Team A]=_xlpm.x)*_xlpm.runsB+(Matches[Team B]=_xlpm.x)*_xlpm.runsA)))),_xlpm.ballsBowled,_xlfn.MAP(_xlpm.t,_xlfn.LAMBDA(_xlpm.x,SUM(_xlpm.done*((Matches[Team A]=_xlpm.x)*_xlpm.ballsB+(Matches[Team B]=_xlpm.x)*_xlpm.ballsA)))),_xlpm.nrr,IFERROR(ROUND(_xlpm.runsFor/(_xlpm.ballsFaced/6)-_xlpm.runsAgainst/(_xlpm.ballsBowled/6),3),0),_xlpm.pts,2*_xlpm.w+_xlpm.nr,_xlfn.SORTBY(_xlfn.HSTACK(_xlpm.t,_xlpm.p,_xlpm.w,_xlpm.p-_xlpm.w-_xlpm.nr,_xlpm.nr,_xlpm.pts,_xlpm.nrr),_xlpm.pts,-1,_xlpm.nrr,-1,_xlpm.w,-1,_xlpm.p-_xlpm.w-_xlpm.nr,1,_xlpm.t,1)),"No Men teams yet")</f>
        <v>No Men teams yet</v>
      </c>
      <c r="J3" t="str" cm="1">
        <f t="array" ref="J3">IFERROR(_xlfn.LET(_xlpm.div,"Women",_xlpm.t,_xlfn._xlws.FILTER(Teams[Team],(Teams[Team]&lt;&gt;"")*(IF(Teams[Division]="","Men",Teams[Division])=_xlpm.div)),_xlpm.md,IF(Matches[Division]="","Men",Matches[Division]),_xlpm.done,(Matches[Stage]="League")*(_xlpm.md=_xlpm.div)*(Matches[Winner]&lt;&gt;""),_xlpm.ov,_xlfn.LAMBDA(_xlpm.o,IFERROR(INT(_xlpm.o)*6+MIN(5,ROUND(MOD(_xlpm.o,1)*10,0)),0)),_xlpm.runsA,IFERROR(--Matches[Team A Runs],0),_xlpm.runsB,IFERROR(--Matches[Team B Runs],0),_xlpm.ballsA,_xlfn.MAP(Matches[Team A Overs],_xlpm.ov),_xlpm.ballsB,_xlfn.MAP(Matches[Team B Overs],_xlpm.ov),_xlpm.p,_xlfn.MAP(_xlpm.t,_xlfn.LAMBDA(_xlpm.x,SUM(_xlpm.done*((Matches[Team A]=_xlpm.x)+(Matches[Team B]=_xlpm.x))))),_xlpm.w,_xlfn.MAP(_xlpm.t,_xlfn.LAMBDA(_xlpm.x,SUM(_xlpm.done*(Matches[Winner]=_xlpm.x)))),_xlpm.nr,_xlfn.MAP(_xlpm.t,_xlfn.LAMBDA(_xlpm.x,SUM(_xlpm.done*(Matches[Winner]="No result")*((Matches[Team A]=_xlpm.x)+(Matches[Team B]=_xlpm.x))))),_xlpm.runsFor,_xlfn.MAP(_xlpm.t,_xlfn.LAMBDA(_xlpm.x,SUM(_xlpm.done*((Matches[Team A]=_xlpm.x)*_xlpm.runsA+(Matches[Team B]=_xlpm.x)*_xlpm.runsB)))),_xlpm.ballsFaced,_xlfn.MAP(_xlpm.t,_xlfn.LAMBDA(_xlpm.x,SUM(_xlpm.done*((Matches[Team A]=_xlpm.x)*_xlpm.ballsA+(Matches[Team B]=_xlpm.x)*_xlpm.ballsB)))),_xlpm.runsAgainst,_xlfn.MAP(_xlpm.t,_xlfn.LAMBDA(_xlpm.x,SUM(_xlpm.done*((Matches[Team A]=_xlpm.x)*_xlpm.runsB+(Matches[Team B]=_xlpm.x)*_xlpm.runsA)))),_xlpm.ballsBowled,_xlfn.MAP(_xlpm.t,_xlfn.LAMBDA(_xlpm.x,SUM(_xlpm.done*((Matches[Team A]=_xlpm.x)*_xlpm.ballsB+(Matches[Team B]=_xlpm.x)*_xlpm.ballsA)))),_xlpm.nrr,IFERROR(ROUND(_xlpm.runsFor/(_xlpm.ballsFaced/6)-_xlpm.runsAgainst/(_xlpm.ballsBowled/6),3),0),_xlpm.pts,2*_xlpm.w+_xlpm.nr,_xlfn.SORTBY(_xlfn.HSTACK(_xlpm.t,_xlpm.p,_xlpm.w,_xlpm.p-_xlpm.w-_xlpm.nr,_xlpm.nr,_xlpm.pts,_xlpm.nrr),_xlpm.pts,-1,_xlpm.nrr,-1,_xlpm.w,-1,_xlpm.p-_xlpm.w-_xlpm.nr,1,_xlpm.t,1)),"No Women teams yet")</f>
        <v>No Women teams yet</v>
      </c>
      <c r="S3" t="str" cm="1">
        <f t="array" ref="S3">IFERROR(_xlfn.LET(_xlpm.div,"Kids",_xlpm.t,_xlfn._xlws.FILTER(Teams[Team],(Teams[Team]&lt;&gt;"")*(IF(Teams[Division]="","Men",Teams[Division])=_xlpm.div)),_xlpm.md,IF(Matches[Division]="","Men",Matches[Division]),_xlpm.done,(Matches[Stage]="League")*(_xlpm.md=_xlpm.div)*(Matches[Winner]&lt;&gt;""),_xlpm.ov,_xlfn.LAMBDA(_xlpm.o,IFERROR(INT(_xlpm.o)*6+MIN(5,ROUND(MOD(_xlpm.o,1)*10,0)),0)),_xlpm.runsA,IFERROR(--Matches[Team A Runs],0),_xlpm.runsB,IFERROR(--Matches[Team B Runs],0),_xlpm.ballsA,_xlfn.MAP(Matches[Team A Overs],_xlpm.ov),_xlpm.ballsB,_xlfn.MAP(Matches[Team B Overs],_xlpm.ov),_xlpm.p,_xlfn.MAP(_xlpm.t,_xlfn.LAMBDA(_xlpm.x,SUM(_xlpm.done*((Matches[Team A]=_xlpm.x)+(Matches[Team B]=_xlpm.x))))),_xlpm.w,_xlfn.MAP(_xlpm.t,_xlfn.LAMBDA(_xlpm.x,SUM(_xlpm.done*(Matches[Winner]=_xlpm.x)))),_xlpm.nr,_xlfn.MAP(_xlpm.t,_xlfn.LAMBDA(_xlpm.x,SUM(_xlpm.done*(Matches[Winner]="No result")*((Matches[Team A]=_xlpm.x)+(Matches[Team B]=_xlpm.x))))),_xlpm.runsFor,_xlfn.MAP(_xlpm.t,_xlfn.LAMBDA(_xlpm.x,SUM(_xlpm.done*((Matches[Team A]=_xlpm.x)*_xlpm.runsA+(Matches[Team B]=_xlpm.x)*_xlpm.runsB)))),_xlpm.ballsFaced,_xlfn.MAP(_xlpm.t,_xlfn.LAMBDA(_xlpm.x,SUM(_xlpm.done*((Matches[Team A]=_xlpm.x)*_xlpm.ballsA+(Matches[Team B]=_xlpm.x)*_xlpm.ballsB)))),_xlpm.runsAgainst,_xlfn.MAP(_xlpm.t,_xlfn.LAMBDA(_xlpm.x,SUM(_xlpm.done*((Matches[Team A]=_xlpm.x)*_xlpm.runsB+(Matches[Team B]=_xlpm.x)*_xlpm.runsA)))),_xlpm.ballsBowled,_xlfn.MAP(_xlpm.t,_xlfn.LAMBDA(_xlpm.x,SUM(_xlpm.done*((Matches[Team A]=_xlpm.x)*_xlpm.ballsB+(Matches[Team B]=_xlpm.x)*_xlpm.ballsA)))),_xlpm.nrr,IFERROR(ROUND(_xlpm.runsFor/(_xlpm.ballsFaced/6)-_xlpm.runsAgainst/(_xlpm.ballsBowled/6),3),0),_xlpm.pts,2*_xlpm.w+_xlpm.nr,_xlfn.SORTBY(_xlfn.HSTACK(_xlpm.t,_xlpm.p,_xlpm.w,_xlpm.p-_xlpm.w-_xlpm.nr,_xlpm.nr,_xlpm.pts,_xlpm.nrr),_xlpm.pts,-1,_xlpm.nrr,-1,_xlpm.w,-1,_xlpm.p-_xlpm.w-_xlpm.nr,1,_xlpm.t,1)),"No Kids teams yet")</f>
        <v>No Kids teams yet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91DC1-DA20-4092-A2E3-552B62112448}">
  <dimension ref="A1:K13"/>
  <sheetViews>
    <sheetView workbookViewId="0">
      <selection activeCell="C7" sqref="C7"/>
    </sheetView>
  </sheetViews>
  <sheetFormatPr defaultRowHeight="15" x14ac:dyDescent="0.25"/>
  <cols>
    <col min="1" max="1" width="10.7109375" customWidth="1"/>
    <col min="2" max="2" width="10.5703125" customWidth="1"/>
    <col min="3" max="3" width="28.7109375" customWidth="1"/>
    <col min="4" max="4" width="18.7109375" customWidth="1"/>
    <col min="5" max="5" width="10.7109375" customWidth="1"/>
    <col min="7" max="7" width="12.7109375" customWidth="1"/>
    <col min="11" max="11" width="14.7109375" customWidth="1"/>
  </cols>
  <sheetData>
    <row r="1" spans="1:11" x14ac:dyDescent="0.25">
      <c r="A1" t="s">
        <v>6</v>
      </c>
      <c r="C1" t="s">
        <v>12</v>
      </c>
      <c r="D1" t="s">
        <v>51</v>
      </c>
      <c r="E1" t="s">
        <v>52</v>
      </c>
      <c r="G1" t="s">
        <v>14</v>
      </c>
      <c r="I1" t="s">
        <v>3</v>
      </c>
      <c r="K1" t="s">
        <v>53</v>
      </c>
    </row>
    <row r="2" spans="1:11" x14ac:dyDescent="0.25">
      <c r="A2" t="s">
        <v>16</v>
      </c>
      <c r="G2" t="s">
        <v>23</v>
      </c>
      <c r="I2" t="s">
        <v>17</v>
      </c>
      <c r="K2" t="s">
        <v>54</v>
      </c>
    </row>
    <row r="3" spans="1:11" x14ac:dyDescent="0.25">
      <c r="A3" t="s">
        <v>49</v>
      </c>
      <c r="G3" t="s">
        <v>17</v>
      </c>
      <c r="I3" t="s">
        <v>22</v>
      </c>
      <c r="K3" t="s">
        <v>55</v>
      </c>
    </row>
    <row r="4" spans="1:11" x14ac:dyDescent="0.25">
      <c r="A4" t="s">
        <v>24</v>
      </c>
      <c r="G4" t="s">
        <v>22</v>
      </c>
      <c r="I4" t="s">
        <v>20</v>
      </c>
      <c r="K4" t="s">
        <v>56</v>
      </c>
    </row>
    <row r="5" spans="1:11" x14ac:dyDescent="0.25">
      <c r="A5" t="s">
        <v>50</v>
      </c>
      <c r="G5" t="s">
        <v>20</v>
      </c>
      <c r="I5" t="s">
        <v>15</v>
      </c>
      <c r="K5" t="s">
        <v>57</v>
      </c>
    </row>
    <row r="6" spans="1:11" x14ac:dyDescent="0.25">
      <c r="G6" t="s">
        <v>15</v>
      </c>
      <c r="I6" t="s">
        <v>21</v>
      </c>
      <c r="K6" t="s">
        <v>58</v>
      </c>
    </row>
    <row r="7" spans="1:11" x14ac:dyDescent="0.25">
      <c r="G7" t="s">
        <v>24</v>
      </c>
      <c r="I7" t="s">
        <v>19</v>
      </c>
      <c r="K7" t="s">
        <v>59</v>
      </c>
    </row>
    <row r="8" spans="1:11" x14ac:dyDescent="0.25">
      <c r="A8" t="s">
        <v>7</v>
      </c>
      <c r="K8" t="s">
        <v>24</v>
      </c>
    </row>
    <row r="9" spans="1:11" x14ac:dyDescent="0.25">
      <c r="A9" t="s">
        <v>18</v>
      </c>
    </row>
    <row r="11" spans="1:11" x14ac:dyDescent="0.25">
      <c r="A11" t="s">
        <v>9</v>
      </c>
    </row>
    <row r="12" spans="1:11" x14ac:dyDescent="0.25">
      <c r="A12" t="s">
        <v>18</v>
      </c>
    </row>
    <row r="13" spans="1:11" x14ac:dyDescent="0.25">
      <c r="A13" t="s">
        <v>13</v>
      </c>
    </row>
  </sheetData>
  <dataValidations count="1">
    <dataValidation type="list" allowBlank="1" showInputMessage="1" showErrorMessage="1" sqref="E2:E60" xr:uid="{6940350A-7435-45CD-82D5-40F718F93F35}">
      <formula1>"""Men,Women,Kids"""</formula1>
    </dataValidation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How to Use</vt:lpstr>
      <vt:lpstr>Players</vt:lpstr>
      <vt:lpstr>Accounts</vt:lpstr>
      <vt:lpstr>Matches</vt:lpstr>
      <vt:lpstr>Points Table</vt:lpstr>
      <vt:lpstr>Misc.</vt:lpstr>
      <vt:lpstr>Fee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Ruchik Shah</dc:creator>
  <cp:keywords/>
  <dc:description/>
  <cp:lastModifiedBy>Ruchik Shah</cp:lastModifiedBy>
  <cp:revision/>
  <dcterms:created xsi:type="dcterms:W3CDTF">2025-04-24T04:24:33Z</dcterms:created>
  <dcterms:modified xsi:type="dcterms:W3CDTF">2026-10-21T05:59:54Z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b492aa-aef4-42e3-b000-93b23e3aa6ca_Enabled">
    <vt:lpwstr>true</vt:lpwstr>
  </property>
  <property fmtid="{D5CDD505-2E9C-101B-9397-08002B2CF9AE}" pid="3" name="MSIP_Label_75b492aa-aef4-42e3-b000-93b23e3aa6ca_SetDate">
    <vt:lpwstr>2025-04-24T04:37:55Z</vt:lpwstr>
  </property>
  <property fmtid="{D5CDD505-2E9C-101B-9397-08002B2CF9AE}" pid="4" name="MSIP_Label_75b492aa-aef4-42e3-b000-93b23e3aa6ca_Method">
    <vt:lpwstr>Standard</vt:lpwstr>
  </property>
  <property fmtid="{D5CDD505-2E9C-101B-9397-08002B2CF9AE}" pid="5" name="MSIP_Label_75b492aa-aef4-42e3-b000-93b23e3aa6ca_Name">
    <vt:lpwstr>General</vt:lpwstr>
  </property>
  <property fmtid="{D5CDD505-2E9C-101B-9397-08002B2CF9AE}" pid="6" name="MSIP_Label_75b492aa-aef4-42e3-b000-93b23e3aa6ca_SiteId">
    <vt:lpwstr>a964d46e-d5f6-4123-b373-c660268646c6</vt:lpwstr>
  </property>
  <property fmtid="{D5CDD505-2E9C-101B-9397-08002B2CF9AE}" pid="7" name="MSIP_Label_75b492aa-aef4-42e3-b000-93b23e3aa6ca_ActionId">
    <vt:lpwstr>9dfb2cde-dcfa-4faf-81d8-a00765d61e69</vt:lpwstr>
  </property>
  <property fmtid="{D5CDD505-2E9C-101B-9397-08002B2CF9AE}" pid="8" name="MSIP_Label_75b492aa-aef4-42e3-b000-93b23e3aa6ca_ContentBits">
    <vt:lpwstr>0</vt:lpwstr>
  </property>
  <property fmtid="{D5CDD505-2E9C-101B-9397-08002B2CF9AE}" pid="9" name="MSIP_Label_75b492aa-aef4-42e3-b000-93b23e3aa6ca_Tag">
    <vt:lpwstr>10, 3, 0, 1</vt:lpwstr>
  </property>
</Properties>
</file>